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_hyakutake\Desktop\"/>
    </mc:Choice>
  </mc:AlternateContent>
  <xr:revisionPtr revIDLastSave="0" documentId="13_ncr:1_{297D39C2-001E-42C2-8DA1-0D86162E0B8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病院・診療所" sheetId="1" r:id="rId1"/>
  </sheets>
  <definedNames>
    <definedName name="_xlnm._FilterDatabase" localSheetId="0" hidden="1">病院・診療所!$A$3:$AK$54</definedName>
    <definedName name="_xlnm.Print_Area" localSheetId="0">病院・診療所!$A$1:$AM$54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4" i="1" l="1"/>
  <c r="E54" i="1"/>
  <c r="F54" i="1" s="1"/>
  <c r="G54" i="1" l="1"/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4" i="1"/>
  <c r="E5" i="1"/>
  <c r="F5" i="1" s="1"/>
  <c r="G5" i="1" s="1"/>
  <c r="E6" i="1"/>
  <c r="E7" i="1"/>
  <c r="F7" i="1" s="1"/>
  <c r="G7" i="1" s="1"/>
  <c r="E8" i="1"/>
  <c r="E9" i="1"/>
  <c r="F9" i="1" s="1"/>
  <c r="G9" i="1" s="1"/>
  <c r="E10" i="1"/>
  <c r="E11" i="1"/>
  <c r="F11" i="1" s="1"/>
  <c r="G11" i="1" s="1"/>
  <c r="E12" i="1"/>
  <c r="E13" i="1"/>
  <c r="F13" i="1" s="1"/>
  <c r="G13" i="1" s="1"/>
  <c r="E14" i="1"/>
  <c r="E15" i="1"/>
  <c r="F15" i="1" s="1"/>
  <c r="G15" i="1" s="1"/>
  <c r="E16" i="1"/>
  <c r="E17" i="1"/>
  <c r="F17" i="1" s="1"/>
  <c r="G17" i="1" s="1"/>
  <c r="E18" i="1"/>
  <c r="E19" i="1"/>
  <c r="F19" i="1" s="1"/>
  <c r="G19" i="1" s="1"/>
  <c r="E20" i="1"/>
  <c r="E21" i="1"/>
  <c r="F21" i="1" s="1"/>
  <c r="G21" i="1" s="1"/>
  <c r="E22" i="1"/>
  <c r="E23" i="1"/>
  <c r="F23" i="1" s="1"/>
  <c r="G23" i="1" s="1"/>
  <c r="E24" i="1"/>
  <c r="E25" i="1"/>
  <c r="F25" i="1" s="1"/>
  <c r="G25" i="1" s="1"/>
  <c r="E26" i="1"/>
  <c r="E27" i="1"/>
  <c r="F27" i="1" s="1"/>
  <c r="G27" i="1" s="1"/>
  <c r="E28" i="1"/>
  <c r="E29" i="1"/>
  <c r="F29" i="1" s="1"/>
  <c r="G29" i="1" s="1"/>
  <c r="E30" i="1"/>
  <c r="E31" i="1"/>
  <c r="F31" i="1" s="1"/>
  <c r="G31" i="1" s="1"/>
  <c r="E32" i="1"/>
  <c r="E33" i="1"/>
  <c r="F33" i="1" s="1"/>
  <c r="G33" i="1" s="1"/>
  <c r="E34" i="1"/>
  <c r="E35" i="1"/>
  <c r="F35" i="1" s="1"/>
  <c r="G35" i="1" s="1"/>
  <c r="E36" i="1"/>
  <c r="E37" i="1"/>
  <c r="F37" i="1" s="1"/>
  <c r="G37" i="1" s="1"/>
  <c r="E38" i="1"/>
  <c r="E39" i="1"/>
  <c r="F39" i="1" s="1"/>
  <c r="G39" i="1" s="1"/>
  <c r="E40" i="1"/>
  <c r="E41" i="1"/>
  <c r="F41" i="1" s="1"/>
  <c r="G41" i="1" s="1"/>
  <c r="E42" i="1"/>
  <c r="E43" i="1"/>
  <c r="F43" i="1" s="1"/>
  <c r="G43" i="1" s="1"/>
  <c r="E44" i="1"/>
  <c r="E45" i="1"/>
  <c r="F45" i="1" s="1"/>
  <c r="G45" i="1" s="1"/>
  <c r="E46" i="1"/>
  <c r="E47" i="1"/>
  <c r="F47" i="1" s="1"/>
  <c r="G47" i="1" s="1"/>
  <c r="E48" i="1"/>
  <c r="E49" i="1"/>
  <c r="F49" i="1" s="1"/>
  <c r="G49" i="1" s="1"/>
  <c r="E50" i="1"/>
  <c r="E51" i="1"/>
  <c r="F51" i="1" s="1"/>
  <c r="G51" i="1" s="1"/>
  <c r="E52" i="1"/>
  <c r="E53" i="1"/>
  <c r="E4" i="1"/>
  <c r="F4" i="1" s="1"/>
  <c r="F53" i="1" l="1"/>
  <c r="G53" i="1" s="1"/>
  <c r="H54" i="1" s="1"/>
  <c r="G4" i="1"/>
  <c r="F52" i="1"/>
  <c r="G52" i="1" s="1"/>
  <c r="F50" i="1"/>
  <c r="G50" i="1" s="1"/>
  <c r="F48" i="1"/>
  <c r="G48" i="1" s="1"/>
  <c r="F46" i="1"/>
  <c r="G46" i="1" s="1"/>
  <c r="F44" i="1"/>
  <c r="G44" i="1" s="1"/>
  <c r="F42" i="1"/>
  <c r="G42" i="1" s="1"/>
  <c r="F40" i="1"/>
  <c r="G40" i="1" s="1"/>
  <c r="F38" i="1"/>
  <c r="G38" i="1" s="1"/>
  <c r="F36" i="1"/>
  <c r="G36" i="1" s="1"/>
  <c r="F34" i="1"/>
  <c r="G34" i="1" s="1"/>
  <c r="F32" i="1"/>
  <c r="G32" i="1" s="1"/>
  <c r="F30" i="1"/>
  <c r="G30" i="1" s="1"/>
  <c r="F28" i="1"/>
  <c r="G28" i="1" s="1"/>
  <c r="F26" i="1"/>
  <c r="G26" i="1" s="1"/>
  <c r="F24" i="1"/>
  <c r="G24" i="1" s="1"/>
  <c r="F22" i="1"/>
  <c r="G22" i="1" s="1"/>
  <c r="F20" i="1"/>
  <c r="G20" i="1" s="1"/>
  <c r="F18" i="1"/>
  <c r="G18" i="1" s="1"/>
  <c r="F16" i="1"/>
  <c r="G16" i="1" s="1"/>
  <c r="F14" i="1"/>
  <c r="G14" i="1" s="1"/>
  <c r="F12" i="1"/>
  <c r="G12" i="1" s="1"/>
  <c r="F10" i="1"/>
  <c r="G10" i="1" s="1"/>
  <c r="F8" i="1"/>
  <c r="G8" i="1" s="1"/>
  <c r="F6" i="1"/>
  <c r="G6" i="1" s="1"/>
  <c r="H7" i="1" l="1"/>
  <c r="H6" i="1"/>
  <c r="H9" i="1"/>
  <c r="H8" i="1"/>
  <c r="H11" i="1"/>
  <c r="H10" i="1"/>
  <c r="H13" i="1"/>
  <c r="H12" i="1"/>
  <c r="H15" i="1"/>
  <c r="H14" i="1"/>
  <c r="H17" i="1"/>
  <c r="H16" i="1"/>
  <c r="H19" i="1"/>
  <c r="H18" i="1"/>
  <c r="H21" i="1"/>
  <c r="H20" i="1"/>
  <c r="H23" i="1"/>
  <c r="H22" i="1"/>
  <c r="H25" i="1"/>
  <c r="H24" i="1"/>
  <c r="H27" i="1"/>
  <c r="H26" i="1"/>
  <c r="H29" i="1"/>
  <c r="H28" i="1"/>
  <c r="H31" i="1"/>
  <c r="H30" i="1"/>
  <c r="H33" i="1"/>
  <c r="H32" i="1"/>
  <c r="H35" i="1"/>
  <c r="H34" i="1"/>
  <c r="H37" i="1"/>
  <c r="H36" i="1"/>
  <c r="H39" i="1"/>
  <c r="H38" i="1"/>
  <c r="H41" i="1"/>
  <c r="H40" i="1"/>
  <c r="H43" i="1"/>
  <c r="H42" i="1"/>
  <c r="H45" i="1"/>
  <c r="H44" i="1"/>
  <c r="H47" i="1"/>
  <c r="H46" i="1"/>
  <c r="H49" i="1"/>
  <c r="H48" i="1"/>
  <c r="H51" i="1"/>
  <c r="H50" i="1"/>
  <c r="H53" i="1"/>
  <c r="H52" i="1"/>
  <c r="H4" i="1"/>
  <c r="H5" i="1"/>
</calcChain>
</file>

<file path=xl/sharedStrings.xml><?xml version="1.0" encoding="utf-8"?>
<sst xmlns="http://schemas.openxmlformats.org/spreadsheetml/2006/main" count="890" uniqueCount="513">
  <si>
    <t>廃止、
辞退</t>
    <rPh sb="0" eb="2">
      <t>ハイシ</t>
    </rPh>
    <rPh sb="4" eb="6">
      <t>ジタイ</t>
    </rPh>
    <phoneticPr fontId="3"/>
  </si>
  <si>
    <t>医　療　機　関</t>
    <rPh sb="0" eb="1">
      <t>イ</t>
    </rPh>
    <rPh sb="2" eb="3">
      <t>リョウ</t>
    </rPh>
    <rPh sb="4" eb="5">
      <t>キ</t>
    </rPh>
    <rPh sb="6" eb="7">
      <t>セキ</t>
    </rPh>
    <phoneticPr fontId="3"/>
  </si>
  <si>
    <t>開　　設　　者</t>
    <rPh sb="0" eb="1">
      <t>カイ</t>
    </rPh>
    <rPh sb="3" eb="4">
      <t>セツ</t>
    </rPh>
    <rPh sb="6" eb="7">
      <t>シャ</t>
    </rPh>
    <phoneticPr fontId="3"/>
  </si>
  <si>
    <t>医療の種類</t>
    <rPh sb="0" eb="2">
      <t>イリョウ</t>
    </rPh>
    <rPh sb="3" eb="5">
      <t>シュルイ</t>
    </rPh>
    <phoneticPr fontId="3"/>
  </si>
  <si>
    <t>(歯科)医師</t>
    <rPh sb="4" eb="6">
      <t>イシ</t>
    </rPh>
    <phoneticPr fontId="3"/>
  </si>
  <si>
    <t>申請年月日</t>
    <rPh sb="0" eb="1">
      <t>サル</t>
    </rPh>
    <rPh sb="1" eb="2">
      <t>ショウ</t>
    </rPh>
    <rPh sb="2" eb="3">
      <t>トシ</t>
    </rPh>
    <rPh sb="3" eb="4">
      <t>ツキ</t>
    </rPh>
    <rPh sb="4" eb="5">
      <t>ヒ</t>
    </rPh>
    <phoneticPr fontId="3"/>
  </si>
  <si>
    <t>指定年月日</t>
    <rPh sb="0" eb="2">
      <t>シテイ</t>
    </rPh>
    <rPh sb="2" eb="5">
      <t>ネンガッピ</t>
    </rPh>
    <phoneticPr fontId="3"/>
  </si>
  <si>
    <t>更新年月日</t>
    <rPh sb="0" eb="2">
      <t>コウシン</t>
    </rPh>
    <rPh sb="2" eb="5">
      <t>ネンガッピ</t>
    </rPh>
    <phoneticPr fontId="3"/>
  </si>
  <si>
    <t>医療種別</t>
    <rPh sb="0" eb="1">
      <t>イ</t>
    </rPh>
    <rPh sb="1" eb="2">
      <t>リョウ</t>
    </rPh>
    <rPh sb="2" eb="3">
      <t>タネ</t>
    </rPh>
    <rPh sb="3" eb="4">
      <t>ベツ</t>
    </rPh>
    <phoneticPr fontId="3"/>
  </si>
  <si>
    <t>育成医療</t>
    <rPh sb="0" eb="2">
      <t>イクセイ</t>
    </rPh>
    <rPh sb="2" eb="4">
      <t>イリョウ</t>
    </rPh>
    <phoneticPr fontId="3"/>
  </si>
  <si>
    <t>更生医療</t>
    <rPh sb="0" eb="2">
      <t>コウセイ</t>
    </rPh>
    <rPh sb="2" eb="4">
      <t>イリョウ</t>
    </rPh>
    <phoneticPr fontId="3"/>
  </si>
  <si>
    <t>指定年月</t>
    <rPh sb="0" eb="2">
      <t>シテイ</t>
    </rPh>
    <rPh sb="2" eb="4">
      <t>ネンゲツ</t>
    </rPh>
    <phoneticPr fontId="3"/>
  </si>
  <si>
    <t>廃止・
辞退・
休止年月</t>
    <rPh sb="0" eb="2">
      <t>ハイシ</t>
    </rPh>
    <rPh sb="4" eb="6">
      <t>ジタイ</t>
    </rPh>
    <rPh sb="8" eb="10">
      <t>キュウシ</t>
    </rPh>
    <rPh sb="10" eb="12">
      <t>ネンゲツ</t>
    </rPh>
    <phoneticPr fontId="3"/>
  </si>
  <si>
    <t>変　更　①</t>
    <rPh sb="0" eb="1">
      <t>ヘン</t>
    </rPh>
    <rPh sb="2" eb="3">
      <t>サラ</t>
    </rPh>
    <phoneticPr fontId="3"/>
  </si>
  <si>
    <t>変　更　②</t>
    <rPh sb="0" eb="1">
      <t>ヘン</t>
    </rPh>
    <rPh sb="2" eb="3">
      <t>サラ</t>
    </rPh>
    <phoneticPr fontId="3"/>
  </si>
  <si>
    <t>変　更　③</t>
    <rPh sb="0" eb="1">
      <t>ヘン</t>
    </rPh>
    <rPh sb="2" eb="3">
      <t>サラ</t>
    </rPh>
    <phoneticPr fontId="3"/>
  </si>
  <si>
    <t>変　更　④</t>
    <rPh sb="0" eb="1">
      <t>ヘン</t>
    </rPh>
    <rPh sb="2" eb="3">
      <t>サラ</t>
    </rPh>
    <phoneticPr fontId="3"/>
  </si>
  <si>
    <t>変　更　⑤</t>
    <rPh sb="0" eb="1">
      <t>ヘン</t>
    </rPh>
    <rPh sb="2" eb="3">
      <t>サラ</t>
    </rPh>
    <phoneticPr fontId="3"/>
  </si>
  <si>
    <t>変　更　⑥</t>
    <rPh sb="0" eb="1">
      <t>ヘン</t>
    </rPh>
    <rPh sb="2" eb="3">
      <t>サラ</t>
    </rPh>
    <phoneticPr fontId="3"/>
  </si>
  <si>
    <t>コード</t>
  </si>
  <si>
    <t>名　　称</t>
    <rPh sb="0" eb="1">
      <t>メイ</t>
    </rPh>
    <rPh sb="3" eb="4">
      <t>ショウ</t>
    </rPh>
    <phoneticPr fontId="3"/>
  </si>
  <si>
    <t>郵便番号</t>
    <rPh sb="0" eb="2">
      <t>ユウビン</t>
    </rPh>
    <rPh sb="2" eb="4">
      <t>バンゴウ</t>
    </rPh>
    <phoneticPr fontId="3"/>
  </si>
  <si>
    <t>区市町村名</t>
    <rPh sb="0" eb="4">
      <t>クシチョウソン</t>
    </rPh>
    <rPh sb="4" eb="5">
      <t>メイ</t>
    </rPh>
    <phoneticPr fontId="3"/>
  </si>
  <si>
    <t>所　在　地</t>
    <rPh sb="0" eb="1">
      <t>ショ</t>
    </rPh>
    <rPh sb="2" eb="3">
      <t>ザイ</t>
    </rPh>
    <rPh sb="4" eb="5">
      <t>チ</t>
    </rPh>
    <phoneticPr fontId="3"/>
  </si>
  <si>
    <t>電話番号</t>
    <rPh sb="0" eb="2">
      <t>デンワ</t>
    </rPh>
    <rPh sb="2" eb="4">
      <t>バンゴウ</t>
    </rPh>
    <phoneticPr fontId="3"/>
  </si>
  <si>
    <t>氏名又は名称</t>
    <rPh sb="0" eb="2">
      <t>シメイ</t>
    </rPh>
    <rPh sb="2" eb="3">
      <t>マタ</t>
    </rPh>
    <rPh sb="4" eb="6">
      <t>メイショウ</t>
    </rPh>
    <phoneticPr fontId="3"/>
  </si>
  <si>
    <t>郵便番号</t>
    <rPh sb="0" eb="4">
      <t>ユウビンバンゴウ</t>
    </rPh>
    <phoneticPr fontId="3"/>
  </si>
  <si>
    <t>（みなし指定）</t>
    <rPh sb="4" eb="6">
      <t>シテイ</t>
    </rPh>
    <phoneticPr fontId="3"/>
  </si>
  <si>
    <t>1-1</t>
  </si>
  <si>
    <t>医療法人社団明和会　西八王子病院</t>
  </si>
  <si>
    <t>192-0151</t>
  </si>
  <si>
    <t>24八王子市</t>
    <rPh sb="2" eb="6">
      <t>ハチオウジシ</t>
    </rPh>
    <phoneticPr fontId="3"/>
  </si>
  <si>
    <t>八王子市上川町２１５０</t>
  </si>
  <si>
    <t>042-654-4551</t>
  </si>
  <si>
    <t>10腎臓</t>
  </si>
  <si>
    <t>18福保障計第1520号</t>
    <rPh sb="2" eb="3">
      <t>フク</t>
    </rPh>
    <rPh sb="3" eb="4">
      <t>ホ</t>
    </rPh>
    <rPh sb="4" eb="5">
      <t>サワ</t>
    </rPh>
    <rPh sb="5" eb="6">
      <t>ケイ</t>
    </rPh>
    <rPh sb="6" eb="7">
      <t>ダイ</t>
    </rPh>
    <rPh sb="11" eb="12">
      <t>ゴウ</t>
    </rPh>
    <phoneticPr fontId="3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</si>
  <si>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3"/>
  </si>
  <si>
    <t>1-2</t>
  </si>
  <si>
    <t>あけぼのクリニック</t>
  </si>
  <si>
    <t>193-0934</t>
  </si>
  <si>
    <t>八王子市小比企町１７２２－５</t>
  </si>
  <si>
    <t>042-636-1100</t>
  </si>
  <si>
    <t>井上　慶一</t>
    <rPh sb="0" eb="2">
      <t>イノウエ</t>
    </rPh>
    <rPh sb="3" eb="5">
      <t>ケイイチ</t>
    </rPh>
    <phoneticPr fontId="3"/>
  </si>
  <si>
    <t>1-3</t>
  </si>
  <si>
    <t>南大沢パオレ腎クリニック</t>
  </si>
  <si>
    <t>192-0364</t>
  </si>
  <si>
    <t>八王子市南大沢２－２　パオレ５階</t>
  </si>
  <si>
    <t>042-677-4477</t>
  </si>
  <si>
    <t>18福保障計第1757号</t>
  </si>
  <si>
    <t>1-4</t>
  </si>
  <si>
    <t>192-0082</t>
  </si>
  <si>
    <t>八王子市東町７－６　ダヴィンチ八王子７，８階</t>
  </si>
  <si>
    <t>042-646-6996</t>
  </si>
  <si>
    <t>小俣　百世</t>
    <rPh sb="0" eb="2">
      <t>オマタ</t>
    </rPh>
    <rPh sb="3" eb="5">
      <t>ヒャクヨ</t>
    </rPh>
    <phoneticPr fontId="3"/>
  </si>
  <si>
    <t>1-5</t>
  </si>
  <si>
    <t>193-0845</t>
  </si>
  <si>
    <t>八王子市初沢町１２７６－１</t>
  </si>
  <si>
    <t>042-668-0662</t>
  </si>
  <si>
    <t>1-6</t>
  </si>
  <si>
    <t>京王八王子山川クリニック</t>
  </si>
  <si>
    <t>192-0046</t>
  </si>
  <si>
    <t>八王子市明神町３－２１－１</t>
  </si>
  <si>
    <t>042-660-7887</t>
  </si>
  <si>
    <t>山川　弘</t>
  </si>
  <si>
    <t>1-7</t>
  </si>
  <si>
    <t>西八王子松村クリニック</t>
  </si>
  <si>
    <t>193-0835</t>
  </si>
  <si>
    <t>八王子市千人町２－１８－１５</t>
  </si>
  <si>
    <t>042-667-2121</t>
  </si>
  <si>
    <t>松村　康男</t>
  </si>
  <si>
    <t>1-8</t>
  </si>
  <si>
    <t>192-0032</t>
  </si>
  <si>
    <t>八王子市石川町２９６０－５</t>
  </si>
  <si>
    <t>042-643-2701</t>
  </si>
  <si>
    <t>変更届（医師氏名（首藤　裕→、～平成21年３月31日））</t>
    <rPh sb="0" eb="2">
      <t>ヘンコウ</t>
    </rPh>
    <rPh sb="2" eb="3">
      <t>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3"/>
  </si>
  <si>
    <t>変更届（医師氏名（川上　貴久→、～平成23年３月31日））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</si>
  <si>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1-9</t>
  </si>
  <si>
    <t>医療法人社団幸山会　みなみ野セントラルクリニック</t>
  </si>
  <si>
    <t>192-0916</t>
  </si>
  <si>
    <t>八王子市みなみ野４－１５－７</t>
  </si>
  <si>
    <t>042-632-8787</t>
  </si>
  <si>
    <t>内山　正美</t>
    <rPh sb="0" eb="2">
      <t>ウチヤマ</t>
    </rPh>
    <rPh sb="3" eb="5">
      <t>マサミ</t>
    </rPh>
    <phoneticPr fontId="3"/>
  </si>
  <si>
    <t>1-10</t>
  </si>
  <si>
    <t>○</t>
  </si>
  <si>
    <t>医療法人社団八九十会　美季形成外科</t>
  </si>
  <si>
    <t>192-0002</t>
  </si>
  <si>
    <t>八王子市高月町１１３５</t>
  </si>
  <si>
    <t>042-691-5003</t>
  </si>
  <si>
    <t>05形成外科</t>
    <rPh sb="2" eb="4">
      <t>ケイセイ</t>
    </rPh>
    <rPh sb="4" eb="6">
      <t>ゲカ</t>
    </rPh>
    <phoneticPr fontId="3"/>
  </si>
  <si>
    <t>大崎　政海</t>
    <rPh sb="0" eb="2">
      <t>オオサキ</t>
    </rPh>
    <rPh sb="3" eb="5">
      <t>セイカイ</t>
    </rPh>
    <phoneticPr fontId="3"/>
  </si>
  <si>
    <t>18福保障計第898号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3"/>
  </si>
  <si>
    <t>廃止届（平成19年３月31日廃止、閉院）</t>
    <rPh sb="0" eb="2">
      <t>ハイシ</t>
    </rPh>
    <rPh sb="2" eb="3">
      <t>トドケ</t>
    </rPh>
    <rPh sb="4" eb="6">
      <t>ヘイセイ</t>
    </rPh>
    <rPh sb="8" eb="9">
      <t>ネン</t>
    </rPh>
    <rPh sb="10" eb="11">
      <t>ガツ</t>
    </rPh>
    <rPh sb="13" eb="14">
      <t>ニチ</t>
    </rPh>
    <rPh sb="14" eb="16">
      <t>ハイシ</t>
    </rPh>
    <rPh sb="17" eb="19">
      <t>ヘイイン</t>
    </rPh>
    <phoneticPr fontId="3"/>
  </si>
  <si>
    <t>1-11</t>
  </si>
  <si>
    <t>医療法人社団主正会　かわさきクリニック</t>
    <rPh sb="0" eb="2">
      <t>イリョウ</t>
    </rPh>
    <rPh sb="2" eb="4">
      <t>ホウジン</t>
    </rPh>
    <rPh sb="4" eb="6">
      <t>シャダン</t>
    </rPh>
    <rPh sb="6" eb="7">
      <t>シュ</t>
    </rPh>
    <rPh sb="7" eb="8">
      <t>セイ</t>
    </rPh>
    <rPh sb="8" eb="9">
      <t>カイ</t>
    </rPh>
    <phoneticPr fontId="3"/>
  </si>
  <si>
    <t>192-0154</t>
  </si>
  <si>
    <t>八王子市下恩方町１１４１－１</t>
  </si>
  <si>
    <t>042-650-6655</t>
  </si>
  <si>
    <t>04整形外科</t>
  </si>
  <si>
    <t>川﨑　正樹</t>
    <rPh sb="3" eb="5">
      <t>マサキ</t>
    </rPh>
    <phoneticPr fontId="2"/>
  </si>
  <si>
    <t>19福保障計第696号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2"/>
  </si>
  <si>
    <t>育成医療・更生医療</t>
    <rPh sb="0" eb="2">
      <t>イクセイ</t>
    </rPh>
    <rPh sb="2" eb="4">
      <t>イリョウ</t>
    </rPh>
    <rPh sb="5" eb="7">
      <t>コウセイ</t>
    </rPh>
    <rPh sb="7" eb="9">
      <t>イリョウ</t>
    </rPh>
    <phoneticPr fontId="2"/>
  </si>
  <si>
    <t>変更届（医療機関名称（かわさきクリニック→）、開設者名称（川﨑　主税(ｺｰﾄﾞ2928133)→）、～平成21年３月31日）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23" eb="25">
      <t>カイセツ</t>
    </rPh>
    <rPh sb="25" eb="26">
      <t>シャ</t>
    </rPh>
    <rPh sb="26" eb="28">
      <t>メイショウ</t>
    </rPh>
    <rPh sb="51" eb="53">
      <t>ヘイセイ</t>
    </rPh>
    <rPh sb="55" eb="56">
      <t>ネン</t>
    </rPh>
    <rPh sb="57" eb="58">
      <t>ガツ</t>
    </rPh>
    <rPh sb="60" eb="61">
      <t>ニチ</t>
    </rPh>
    <phoneticPr fontId="3"/>
  </si>
  <si>
    <t>07脳神経外科</t>
    <rPh sb="2" eb="3">
      <t>ノウ</t>
    </rPh>
    <rPh sb="3" eb="5">
      <t>シンケイ</t>
    </rPh>
    <rPh sb="5" eb="7">
      <t>ゲカ</t>
    </rPh>
    <phoneticPr fontId="2"/>
  </si>
  <si>
    <t>川﨑　主税</t>
    <rPh sb="0" eb="2">
      <t>カワサキ</t>
    </rPh>
    <rPh sb="3" eb="4">
      <t>シュ</t>
    </rPh>
    <rPh sb="4" eb="5">
      <t>ゼイ</t>
    </rPh>
    <phoneticPr fontId="2"/>
  </si>
  <si>
    <t>1-12</t>
  </si>
  <si>
    <t>医療法人社団ＭＮＣ　めじろ台西澤クリニック</t>
    <rPh sb="0" eb="2">
      <t>イリョウ</t>
    </rPh>
    <rPh sb="2" eb="4">
      <t>ホウジン</t>
    </rPh>
    <rPh sb="4" eb="6">
      <t>シャダン</t>
    </rPh>
    <phoneticPr fontId="3"/>
  </si>
  <si>
    <t>193-0833</t>
  </si>
  <si>
    <t>八王子市めじろ台３－１－１０</t>
  </si>
  <si>
    <t>042-667-8001</t>
  </si>
  <si>
    <t>医療法人社団ＭＮＣ</t>
    <rPh sb="0" eb="2">
      <t>イリョウ</t>
    </rPh>
    <rPh sb="2" eb="4">
      <t>ホウジン</t>
    </rPh>
    <rPh sb="4" eb="6">
      <t>シャダン</t>
    </rPh>
    <phoneticPr fontId="3"/>
  </si>
  <si>
    <t>東京都八王子市めじろ台３－１－１０</t>
    <rPh sb="0" eb="3">
      <t>トウキョウト</t>
    </rPh>
    <rPh sb="3" eb="6">
      <t>ハチオウジ</t>
    </rPh>
    <rPh sb="6" eb="7">
      <t>シ</t>
    </rPh>
    <rPh sb="10" eb="11">
      <t>ダイ</t>
    </rPh>
    <phoneticPr fontId="3"/>
  </si>
  <si>
    <t>西澤　雅彦</t>
    <rPh sb="0" eb="2">
      <t>ニシザワ</t>
    </rPh>
    <rPh sb="3" eb="5">
      <t>マサヒコ</t>
    </rPh>
    <phoneticPr fontId="3"/>
  </si>
  <si>
    <t>変更届（医療機関名称（めじろ台西澤クリニック→）、開設者名称（西澤　雅彦(ｺｰﾄﾞ2927119)→）、～平成21年８月31日）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25" eb="27">
      <t>カイセツ</t>
    </rPh>
    <rPh sb="27" eb="28">
      <t>シャ</t>
    </rPh>
    <rPh sb="28" eb="30">
      <t>メイショウ</t>
    </rPh>
    <rPh sb="53" eb="55">
      <t>ヘイセイ</t>
    </rPh>
    <rPh sb="57" eb="58">
      <t>ネン</t>
    </rPh>
    <rPh sb="59" eb="60">
      <t>ガツ</t>
    </rPh>
    <rPh sb="62" eb="63">
      <t>ニチ</t>
    </rPh>
    <phoneticPr fontId="3"/>
  </si>
  <si>
    <t>1-13</t>
  </si>
  <si>
    <t>192-0904</t>
  </si>
  <si>
    <t>八王子市子安町４－７－１　サザンスカイタワー八王子３階</t>
    <rPh sb="4" eb="7">
      <t>コヤスマチ</t>
    </rPh>
    <rPh sb="22" eb="25">
      <t>ハチオウジ</t>
    </rPh>
    <rPh sb="26" eb="27">
      <t>カイ</t>
    </rPh>
    <phoneticPr fontId="3"/>
  </si>
  <si>
    <t>042-620-3377</t>
  </si>
  <si>
    <t>変更届（医師氏名（中嶋　雅彦→、～平成21年６月30日））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</si>
  <si>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変更届（医療機関所在地（八王子市万町１７５－１(ｺｰﾄﾞ2927655)→）、～平成22年12月５日）</t>
    <rPh sb="0" eb="2">
      <t>ヘンコウ</t>
    </rPh>
    <rPh sb="2" eb="3">
      <t>トドケ</t>
    </rPh>
    <rPh sb="4" eb="6">
      <t>イリョウ</t>
    </rPh>
    <rPh sb="6" eb="8">
      <t>キカン</t>
    </rPh>
    <rPh sb="8" eb="11">
      <t>ショザイチ</t>
    </rPh>
    <rPh sb="40" eb="42">
      <t>ヘイセイ</t>
    </rPh>
    <rPh sb="44" eb="45">
      <t>ネン</t>
    </rPh>
    <rPh sb="47" eb="48">
      <t>ガツ</t>
    </rPh>
    <rPh sb="49" eb="50">
      <t>ニチ</t>
    </rPh>
    <phoneticPr fontId="3"/>
  </si>
  <si>
    <t>1-14</t>
  </si>
  <si>
    <t>社会福祉法人日本心身障害児協会　島田療育センターはちおうじ</t>
    <rPh sb="0" eb="2">
      <t>しゃかい</t>
    </rPh>
    <rPh sb="2" eb="4">
      <t>ふくし</t>
    </rPh>
    <rPh sb="4" eb="6">
      <t>ほうじん</t>
    </rPh>
    <rPh sb="6" eb="8">
      <t>にほん</t>
    </rPh>
    <rPh sb="8" eb="10">
      <t>しんしん</t>
    </rPh>
    <rPh sb="10" eb="12">
      <t>しょうがい</t>
    </rPh>
    <rPh sb="12" eb="13">
      <t>じ</t>
    </rPh>
    <rPh sb="13" eb="15">
      <t>きょうかい</t>
    </rPh>
    <rPh sb="16" eb="18">
      <t>しまだ</t>
    </rPh>
    <rPh sb="18" eb="20">
      <t>りょういく</t>
    </rPh>
    <phoneticPr fontId="3" type="Hiragana"/>
  </si>
  <si>
    <t>193-0931</t>
  </si>
  <si>
    <t>八王子市台町４－３３－１３</t>
    <rPh sb="0" eb="4">
      <t>はちおうじし</t>
    </rPh>
    <rPh sb="4" eb="6">
      <t>だいまち</t>
    </rPh>
    <phoneticPr fontId="3" type="Hiragana"/>
  </si>
  <si>
    <t>042-634-8511</t>
  </si>
  <si>
    <t>社会福祉法人日本心身障害児協会</t>
    <rPh sb="0" eb="2">
      <t>しゃかい</t>
    </rPh>
    <rPh sb="2" eb="4">
      <t>ふくし</t>
    </rPh>
    <rPh sb="4" eb="6">
      <t>ほうじん</t>
    </rPh>
    <rPh sb="6" eb="8">
      <t>にほん</t>
    </rPh>
    <rPh sb="8" eb="10">
      <t>しんしん</t>
    </rPh>
    <rPh sb="10" eb="13">
      <t>しょうがいじ</t>
    </rPh>
    <rPh sb="13" eb="15">
      <t>きょうかい</t>
    </rPh>
    <phoneticPr fontId="3" type="Hiragana"/>
  </si>
  <si>
    <t>06中枢神経</t>
  </si>
  <si>
    <t>22福保障計第1504号</t>
    <rPh sb="2" eb="3">
      <t>ふく</t>
    </rPh>
    <rPh sb="3" eb="5">
      <t>ほしょう</t>
    </rPh>
    <rPh sb="5" eb="6">
      <t>けい</t>
    </rPh>
    <rPh sb="6" eb="7">
      <t>だい</t>
    </rPh>
    <rPh sb="11" eb="12">
      <t>ごう</t>
    </rPh>
    <phoneticPr fontId="3" type="Hiragana"/>
  </si>
  <si>
    <t>1-15</t>
  </si>
  <si>
    <t>いなば歯科矯正クリニック</t>
  </si>
  <si>
    <t>八王子市子安町１－２－８　守屋ビル３階</t>
  </si>
  <si>
    <t>042-656-1631</t>
  </si>
  <si>
    <t>稲葉　敬隆</t>
  </si>
  <si>
    <t>193-0933</t>
  </si>
  <si>
    <t>15歯科矯正</t>
    <rPh sb="4" eb="6">
      <t>キョウセイ</t>
    </rPh>
    <phoneticPr fontId="3"/>
  </si>
  <si>
    <t>稲葉　敬隆</t>
    <rPh sb="0" eb="2">
      <t>イナバ</t>
    </rPh>
    <rPh sb="3" eb="4">
      <t>ウヤマ</t>
    </rPh>
    <rPh sb="4" eb="5">
      <t>タカシ</t>
    </rPh>
    <phoneticPr fontId="3"/>
  </si>
  <si>
    <t>18福保障計第908号</t>
  </si>
  <si>
    <t>1-16</t>
  </si>
  <si>
    <t>医療法人社団　晋和会　市川矯正歯科医院</t>
  </si>
  <si>
    <t>八王子市子安町４－６－１　Ｐｈｉビル３階</t>
  </si>
  <si>
    <t>042-625-7171</t>
  </si>
  <si>
    <t>東京都八王子市子安町４－６－１　Ｐｈｉビル３階</t>
    <rPh sb="0" eb="3">
      <t>トウキョウト</t>
    </rPh>
    <phoneticPr fontId="3"/>
  </si>
  <si>
    <t>村松　裕之</t>
    <rPh sb="0" eb="2">
      <t>ムラマツ</t>
    </rPh>
    <rPh sb="3" eb="5">
      <t>ヒロユキ</t>
    </rPh>
    <phoneticPr fontId="3"/>
  </si>
  <si>
    <t>18福保障計第921号</t>
    <rPh sb="2" eb="3">
      <t>フク</t>
    </rPh>
    <rPh sb="3" eb="5">
      <t>ホショウ</t>
    </rPh>
    <rPh sb="5" eb="6">
      <t>ケイ</t>
    </rPh>
    <rPh sb="6" eb="7">
      <t>ダイ</t>
    </rPh>
    <rPh sb="10" eb="11">
      <t>ゴウ</t>
    </rPh>
    <phoneticPr fontId="3"/>
  </si>
  <si>
    <t>1-17</t>
  </si>
  <si>
    <t>東京医科大学八王子医療センター</t>
  </si>
  <si>
    <t>八王子市館町１１６３</t>
  </si>
  <si>
    <t>042-665-5611</t>
  </si>
  <si>
    <t>01眼科</t>
    <rPh sb="2" eb="4">
      <t>ガンカ</t>
    </rPh>
    <phoneticPr fontId="3"/>
  </si>
  <si>
    <t>志村　雅彦</t>
    <rPh sb="0" eb="2">
      <t>しむら</t>
    </rPh>
    <rPh sb="3" eb="5">
      <t>まさひこ</t>
    </rPh>
    <phoneticPr fontId="3" type="Hiragana"/>
  </si>
  <si>
    <t>変更届（医師氏名（若林　美宏→）、～平成21年９月30日）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</si>
  <si>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変更届（医師氏名（田中　孝男→、～平成24年９月30日））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タナカ</t>
    </rPh>
    <rPh sb="12" eb="14">
      <t>タカオ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</si>
  <si>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02耳鼻咽喉科</t>
  </si>
  <si>
    <t>小川　恭生</t>
    <rPh sb="0" eb="2">
      <t>おがわ</t>
    </rPh>
    <rPh sb="3" eb="5">
      <t>やすお</t>
    </rPh>
    <phoneticPr fontId="3" type="Hiragana"/>
  </si>
  <si>
    <t>変更届（医師氏名（吉田　知之→）、～平成23年12月31日）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5" eb="26">
      <t>ガツ</t>
    </rPh>
    <rPh sb="28" eb="29">
      <t>ニチ</t>
    </rPh>
    <phoneticPr fontId="3"/>
  </si>
  <si>
    <t>変更届（医師氏名（中村　一博→）、～平成27年3月31日）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</si>
  <si>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03口腔</t>
  </si>
  <si>
    <t>小川　隆</t>
    <rPh sb="0" eb="2">
      <t>オガワ</t>
    </rPh>
    <rPh sb="3" eb="4">
      <t>タカシ</t>
    </rPh>
    <phoneticPr fontId="3"/>
  </si>
  <si>
    <t>変更届（医師氏名（伊藤　康二→）、～平成19年９月30日）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</si>
  <si>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24八王子市</t>
    <rPh sb="2" eb="5">
      <t>ハチオウジ</t>
    </rPh>
    <rPh sb="5" eb="6">
      <t>シ</t>
    </rPh>
    <phoneticPr fontId="3"/>
  </si>
  <si>
    <t>07脳神経外科</t>
    <rPh sb="2" eb="5">
      <t>ノウシンケイ</t>
    </rPh>
    <rPh sb="5" eb="7">
      <t>ゲカ</t>
    </rPh>
    <phoneticPr fontId="3"/>
  </si>
  <si>
    <t>18福保障計第1124号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3"/>
  </si>
  <si>
    <t>08心臓脈管外科</t>
  </si>
  <si>
    <t>160-0022</t>
  </si>
  <si>
    <t>東京都新宿区新宿６－１－１</t>
    <rPh sb="0" eb="3">
      <t>トウキョウト</t>
    </rPh>
    <rPh sb="3" eb="6">
      <t>シンジュクク</t>
    </rPh>
    <rPh sb="6" eb="8">
      <t>シンジュク</t>
    </rPh>
    <phoneticPr fontId="3"/>
  </si>
  <si>
    <t>変更届（医師氏名（長尾　桓→）、～平成20年６月30日）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</si>
  <si>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11腎移植</t>
    <rPh sb="2" eb="3">
      <t>ジン</t>
    </rPh>
    <rPh sb="3" eb="5">
      <t>イショク</t>
    </rPh>
    <phoneticPr fontId="3"/>
  </si>
  <si>
    <t>岩本　整</t>
    <rPh sb="0" eb="2">
      <t>いわもと</t>
    </rPh>
    <rPh sb="3" eb="4">
      <t>ただし</t>
    </rPh>
    <phoneticPr fontId="3" type="Hiragana"/>
  </si>
  <si>
    <t>変更届（医師氏名（松野　直徒→）、～平成21年３月31日）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</si>
  <si>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21福保障計第1081号</t>
    <rPh sb="2" eb="3">
      <t>ふく</t>
    </rPh>
    <rPh sb="3" eb="5">
      <t>ほしょう</t>
    </rPh>
    <rPh sb="5" eb="6">
      <t>けい</t>
    </rPh>
    <rPh sb="6" eb="7">
      <t>だい</t>
    </rPh>
    <rPh sb="11" eb="12">
      <t>ごう</t>
    </rPh>
    <phoneticPr fontId="3" type="Hiragana"/>
  </si>
  <si>
    <t>14免疫</t>
    <rPh sb="2" eb="4">
      <t>メンエキ</t>
    </rPh>
    <phoneticPr fontId="3"/>
  </si>
  <si>
    <t>変更届（医師氏名（田中　朝志→）、～平成25年３月31日）</t>
    <rPh sb="0" eb="2">
      <t>ヘンコウ</t>
    </rPh>
    <rPh sb="2" eb="3">
      <t>トドケ</t>
    </rPh>
    <rPh sb="4" eb="6">
      <t>イシ</t>
    </rPh>
    <rPh sb="6" eb="8">
      <t>シメイ</t>
    </rPh>
    <rPh sb="9" eb="11">
      <t>タナカ</t>
    </rPh>
    <rPh sb="12" eb="13">
      <t>アサ</t>
    </rPh>
    <rPh sb="13" eb="14">
      <t>ココロザシ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</si>
  <si>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1-18</t>
  </si>
  <si>
    <t>東京都立八王子小児病院</t>
    <rPh sb="0" eb="2">
      <t>トウキョウ</t>
    </rPh>
    <rPh sb="2" eb="3">
      <t>ト</t>
    </rPh>
    <rPh sb="3" eb="4">
      <t>リツ</t>
    </rPh>
    <rPh sb="4" eb="7">
      <t>ハチオウジ</t>
    </rPh>
    <rPh sb="7" eb="9">
      <t>ショウニ</t>
    </rPh>
    <rPh sb="9" eb="11">
      <t>ビョウイン</t>
    </rPh>
    <phoneticPr fontId="3"/>
  </si>
  <si>
    <t>八王子市台町４－３３－１３</t>
    <rPh sb="0" eb="4">
      <t>ハチオウジシ</t>
    </rPh>
    <rPh sb="4" eb="5">
      <t>ダイ</t>
    </rPh>
    <rPh sb="5" eb="6">
      <t>マチ</t>
    </rPh>
    <phoneticPr fontId="3"/>
  </si>
  <si>
    <t>042-624-2255</t>
  </si>
  <si>
    <t>東京都</t>
  </si>
  <si>
    <t>12小腸</t>
    <rPh sb="2" eb="4">
      <t>ショウチョウ</t>
    </rPh>
    <phoneticPr fontId="3"/>
  </si>
  <si>
    <t>仁科　孝子</t>
    <rPh sb="0" eb="2">
      <t>ニシナ</t>
    </rPh>
    <rPh sb="3" eb="5">
      <t>タカコ</t>
    </rPh>
    <phoneticPr fontId="3"/>
  </si>
  <si>
    <t>19福保障計第1087号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1" eb="12">
      <t>ゴウ</t>
    </rPh>
    <phoneticPr fontId="2"/>
  </si>
  <si>
    <t>変更届※都立３小児病院の統合移転（①東京都立清瀬小児病院、清瀬市梅園１－３－１(4715587)、TEL042-491-0011、②東京都立梅ヶ丘病院、世田谷区松原６－３７－１０(ｺｰﾄﾞ1212984)、③東京都立八王子小児病院、八王子市台町４－３３－１３(2970085)、～平成22年２月28日）</t>
    <rPh sb="0" eb="2">
      <t>ヘンコウ</t>
    </rPh>
    <rPh sb="2" eb="3">
      <t>トド</t>
    </rPh>
    <rPh sb="4" eb="6">
      <t>トリツ</t>
    </rPh>
    <rPh sb="7" eb="9">
      <t>ショウニ</t>
    </rPh>
    <rPh sb="9" eb="11">
      <t>ビョウイン</t>
    </rPh>
    <rPh sb="12" eb="14">
      <t>トウゴウ</t>
    </rPh>
    <rPh sb="14" eb="16">
      <t>イテン</t>
    </rPh>
    <rPh sb="66" eb="68">
      <t>トウキョウ</t>
    </rPh>
    <rPh sb="68" eb="70">
      <t>トリツ</t>
    </rPh>
    <rPh sb="70" eb="73">
      <t>ウメガオカ</t>
    </rPh>
    <rPh sb="73" eb="75">
      <t>ビョウイン</t>
    </rPh>
    <rPh sb="76" eb="80">
      <t>セタガヤク</t>
    </rPh>
    <rPh sb="80" eb="82">
      <t>マツバラ</t>
    </rPh>
    <rPh sb="140" eb="142">
      <t>ヘイセイ</t>
    </rPh>
    <rPh sb="144" eb="145">
      <t>ネン</t>
    </rPh>
    <rPh sb="146" eb="147">
      <t>ガツ</t>
    </rPh>
    <rPh sb="149" eb="150">
      <t>ニチ</t>
    </rPh>
    <phoneticPr fontId="3"/>
  </si>
  <si>
    <t>東京都立八王子小児病院</t>
  </si>
  <si>
    <t>八王子市台町４－３３－１３</t>
  </si>
  <si>
    <t>中山　至誠</t>
    <rPh sb="0" eb="2">
      <t>ナカヤマ</t>
    </rPh>
    <rPh sb="3" eb="5">
      <t>シセイ</t>
    </rPh>
    <phoneticPr fontId="3"/>
  </si>
  <si>
    <t>18福保障計第1220号</t>
    <rPh sb="2" eb="3">
      <t>フク</t>
    </rPh>
    <rPh sb="3" eb="5">
      <t>ホショウ</t>
    </rPh>
    <rPh sb="5" eb="6">
      <t>ケイ</t>
    </rPh>
    <rPh sb="6" eb="7">
      <t>ダイ</t>
    </rPh>
    <rPh sb="11" eb="12">
      <t>ゴウ</t>
    </rPh>
    <phoneticPr fontId="3"/>
  </si>
  <si>
    <t>1-19</t>
  </si>
  <si>
    <t>042-654-6131</t>
  </si>
  <si>
    <t>1-20</t>
  </si>
  <si>
    <t>192-0042</t>
  </si>
  <si>
    <t>八王子市中野山王２－１５－１６</t>
  </si>
  <si>
    <t>042-626-1144</t>
  </si>
  <si>
    <t>1-21</t>
  </si>
  <si>
    <t>東海大学八王子病院</t>
  </si>
  <si>
    <t>八王子市石川町１８３８</t>
  </si>
  <si>
    <t>042-639-1111</t>
  </si>
  <si>
    <t>151-0063</t>
  </si>
  <si>
    <t>18福保障計第879号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3"/>
  </si>
  <si>
    <t>変更届（医師氏名（永堀　通男→）、～平成21年９月30日）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</si>
  <si>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変更届（医師氏名（辻　明→、～平成24年６月30日））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ツジ</t>
    </rPh>
    <rPh sb="11" eb="12">
      <t>アキラ</t>
    </rPh>
    <rPh sb="15" eb="17">
      <t>ヘイセイ</t>
    </rPh>
    <rPh sb="19" eb="20">
      <t>ネン</t>
    </rPh>
    <rPh sb="21" eb="22">
      <t>ガツ</t>
    </rPh>
    <rPh sb="24" eb="25">
      <t>ニチ</t>
    </rPh>
    <phoneticPr fontId="3"/>
  </si>
  <si>
    <t>八王子市石川町１８３８　</t>
  </si>
  <si>
    <t>18福保障計第333号</t>
    <rPh sb="2" eb="3">
      <t>フク</t>
    </rPh>
    <rPh sb="3" eb="4">
      <t>ホ</t>
    </rPh>
    <rPh sb="4" eb="5">
      <t>ショウ</t>
    </rPh>
    <rPh sb="5" eb="6">
      <t>ケイ</t>
    </rPh>
    <rPh sb="6" eb="7">
      <t>ダイ</t>
    </rPh>
    <rPh sb="10" eb="11">
      <t>ゴウ</t>
    </rPh>
    <phoneticPr fontId="3"/>
  </si>
  <si>
    <t>変更届（医師氏名（大貫　純一→）、～平成21年９月30日）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</si>
  <si>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変更届（医師氏名（田村　悦代→、～平成24年６月30日））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タムラ</t>
    </rPh>
    <rPh sb="12" eb="14">
      <t>エツヨ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</si>
  <si>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変更届（医師氏名（齋藤　育雄→、～平成19年６月30日））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</si>
  <si>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変更届（医師氏名（大熊　正彦→、～平成24年６月30日））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オオクマ</t>
    </rPh>
    <rPh sb="12" eb="14">
      <t>マサヒコ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</si>
  <si>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変更届（医師氏名（齋藤　育雄→、～平成26年９月30日））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</si>
  <si>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変更届（医師氏名（西村　正樹→）、～平成21年９月30日）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</si>
  <si>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徳岡　健太郎</t>
  </si>
  <si>
    <t>変更届（医師氏名（秋　顕→、～平成24年６月30日））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アキ</t>
    </rPh>
    <rPh sb="11" eb="12">
      <t>アラワ</t>
    </rPh>
    <rPh sb="15" eb="17">
      <t>ヘイセイ</t>
    </rPh>
    <rPh sb="19" eb="20">
      <t>ネン</t>
    </rPh>
    <rPh sb="21" eb="22">
      <t>ガツ</t>
    </rPh>
    <rPh sb="24" eb="25">
      <t>ニチ</t>
    </rPh>
    <phoneticPr fontId="3"/>
  </si>
  <si>
    <t>変更届（医師氏名（野村　幸範→）、～平成21年９月30日）</t>
    <rPh sb="0" eb="2">
      <t>ヘンコウ</t>
    </rPh>
    <rPh sb="2" eb="3">
      <t>トドケ</t>
    </rPh>
    <rPh sb="4" eb="6">
      <t>イシ</t>
    </rPh>
    <rPh sb="6" eb="8">
      <t>シメイ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</si>
  <si>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変更届（医師氏名（但木　太→、～平成26年９月30日））</t>
    <rPh sb="0" eb="2">
      <t>ヘンコウ</t>
    </rPh>
    <rPh sb="2" eb="3">
      <t>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3"/>
  </si>
  <si>
    <t>1-22</t>
  </si>
  <si>
    <t>医療法人社団八九十会　高月整形外科病院</t>
  </si>
  <si>
    <t>八王子市高月町３６０</t>
  </si>
  <si>
    <t>042-692-1115</t>
  </si>
  <si>
    <t>東京都八王子市高月町３６０</t>
    <rPh sb="0" eb="3">
      <t>トウキョウト</t>
    </rPh>
    <rPh sb="3" eb="6">
      <t>ハチオウジ</t>
    </rPh>
    <rPh sb="6" eb="7">
      <t>シ</t>
    </rPh>
    <rPh sb="7" eb="8">
      <t>タカ</t>
    </rPh>
    <rPh sb="8" eb="9">
      <t>ツキ</t>
    </rPh>
    <rPh sb="9" eb="10">
      <t>マチ</t>
    </rPh>
    <phoneticPr fontId="3"/>
  </si>
  <si>
    <t>変更届（医療機関名称（医療法人社団八九十会　高月整形外科(ｺｰﾄﾞ2925014)→、～平成19年７月31日））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44" eb="46">
      <t>ヘイセイ</t>
    </rPh>
    <rPh sb="48" eb="49">
      <t>ネン</t>
    </rPh>
    <rPh sb="50" eb="51">
      <t>ガツ</t>
    </rPh>
    <rPh sb="53" eb="54">
      <t>ニチ</t>
    </rPh>
    <phoneticPr fontId="3"/>
  </si>
  <si>
    <t>平瀬　雄一</t>
    <rPh sb="0" eb="2">
      <t>ヒラセ</t>
    </rPh>
    <rPh sb="3" eb="5">
      <t>ユウイチ</t>
    </rPh>
    <phoneticPr fontId="3"/>
  </si>
  <si>
    <t>医療法人社団永生会　南多摩病院</t>
    <rPh sb="0" eb="2">
      <t>イリョウ</t>
    </rPh>
    <rPh sb="2" eb="4">
      <t>ホウジン</t>
    </rPh>
    <rPh sb="4" eb="6">
      <t>シャダン</t>
    </rPh>
    <rPh sb="6" eb="8">
      <t>オガオ</t>
    </rPh>
    <rPh sb="8" eb="9">
      <t>カイ</t>
    </rPh>
    <phoneticPr fontId="3"/>
  </si>
  <si>
    <t>193-0832</t>
  </si>
  <si>
    <t>八王子市散田町３－１０－１</t>
  </si>
  <si>
    <t>042-663-0111</t>
  </si>
  <si>
    <t>医療法人社団永生会</t>
  </si>
  <si>
    <t>193-0942</t>
  </si>
  <si>
    <t>東京都八王子市椚田町５８３－１５</t>
    <rPh sb="0" eb="3">
      <t>トウキョウト</t>
    </rPh>
    <rPh sb="3" eb="6">
      <t>ハチオウジ</t>
    </rPh>
    <rPh sb="6" eb="7">
      <t>シ</t>
    </rPh>
    <rPh sb="7" eb="8">
      <t>クヌギ</t>
    </rPh>
    <rPh sb="8" eb="9">
      <t>タ</t>
    </rPh>
    <rPh sb="9" eb="10">
      <t>マチ</t>
    </rPh>
    <phoneticPr fontId="3"/>
  </si>
  <si>
    <t>変更届（医師氏名（北川　元信→、～平成21年３月31日））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</si>
  <si>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変更届（医療機関名称（東京都国民健康保険団体連合会　南多摩病院→）、開設者名称（東京都国民健康保険団体連合会(ｺｰﾄﾞ2915650)→）、～平成21年３月31日）</t>
    <rPh sb="0" eb="2">
      <t>ヘンコウ</t>
    </rPh>
    <rPh sb="2" eb="3">
      <t>トドケ</t>
    </rPh>
    <rPh sb="4" eb="6">
      <t>イリョウ</t>
    </rPh>
    <rPh sb="6" eb="8">
      <t>キカン</t>
    </rPh>
    <rPh sb="8" eb="10">
      <t>メイショウ</t>
    </rPh>
    <rPh sb="34" eb="36">
      <t>カイセツ</t>
    </rPh>
    <rPh sb="36" eb="37">
      <t>シャ</t>
    </rPh>
    <rPh sb="37" eb="39">
      <t>メイショウ</t>
    </rPh>
    <rPh sb="71" eb="73">
      <t>ヘイセイ</t>
    </rPh>
    <rPh sb="75" eb="76">
      <t>ネン</t>
    </rPh>
    <rPh sb="77" eb="78">
      <t>ガツ</t>
    </rPh>
    <rPh sb="80" eb="81">
      <t>ニチ</t>
    </rPh>
    <phoneticPr fontId="3"/>
  </si>
  <si>
    <t>変更届（医師氏名（中野間　隆→、～平成21年６月30日））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</si>
  <si>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変更届（医師氏名（小林　正喜→、～平成22年６月30日））</t>
    <rPh sb="0" eb="2">
      <t>ヘンコウ</t>
    </rPh>
    <rPh sb="2" eb="3">
      <t>トドケ</t>
    </rPh>
    <rPh sb="4" eb="6">
      <t>イシ</t>
    </rPh>
    <rPh sb="6" eb="8">
      <t>シメイ</t>
    </rPh>
    <rPh sb="17" eb="19">
      <t>ヘイセイ</t>
    </rPh>
    <rPh sb="21" eb="22">
      <t>ネン</t>
    </rPh>
    <rPh sb="23" eb="24">
      <t>ガツ</t>
    </rPh>
    <rPh sb="26" eb="27">
      <t>ニチ</t>
    </rPh>
    <phoneticPr fontId="3"/>
  </si>
  <si>
    <t>変更届（医師氏名（鈴木　康之→、～平成27年４月１日））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スズキ</t>
    </rPh>
    <rPh sb="12" eb="14">
      <t>ヤスユキ</t>
    </rPh>
    <rPh sb="17" eb="19">
      <t>ヘイセイ</t>
    </rPh>
    <rPh sb="21" eb="22">
      <t>ネン</t>
    </rPh>
    <rPh sb="23" eb="24">
      <t>ガツ</t>
    </rPh>
    <rPh sb="25" eb="26">
      <t>ニチ</t>
    </rPh>
    <phoneticPr fontId="3"/>
  </si>
  <si>
    <t>変更届（医師氏名（新福　栄治→、～平成27年４月１日））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アタラ</t>
    </rPh>
    <rPh sb="10" eb="11">
      <t>フク</t>
    </rPh>
    <rPh sb="12" eb="14">
      <t>エイジ</t>
    </rPh>
    <rPh sb="17" eb="19">
      <t>ヘイセイ</t>
    </rPh>
    <rPh sb="21" eb="22">
      <t>ネン</t>
    </rPh>
    <rPh sb="23" eb="24">
      <t>ガツ</t>
    </rPh>
    <rPh sb="25" eb="26">
      <t>ニチ</t>
    </rPh>
    <phoneticPr fontId="3"/>
  </si>
  <si>
    <t>1-24</t>
  </si>
  <si>
    <t>医療法人財団敬寿会　相武病院</t>
    <rPh sb="0" eb="2">
      <t>イリョウ</t>
    </rPh>
    <rPh sb="2" eb="4">
      <t>ホウジン</t>
    </rPh>
    <rPh sb="4" eb="6">
      <t>ザイダン</t>
    </rPh>
    <rPh sb="6" eb="7">
      <t>ウヤマ</t>
    </rPh>
    <rPh sb="7" eb="8">
      <t>コトブキ</t>
    </rPh>
    <rPh sb="8" eb="9">
      <t>カイ</t>
    </rPh>
    <rPh sb="10" eb="11">
      <t>アイ</t>
    </rPh>
    <rPh sb="12" eb="14">
      <t>ビョウイン</t>
    </rPh>
    <phoneticPr fontId="3"/>
  </si>
  <si>
    <t>192-0001</t>
  </si>
  <si>
    <t>八王子市戸吹町３２３－１</t>
    <rPh sb="0" eb="4">
      <t>ハチオウジシ</t>
    </rPh>
    <rPh sb="4" eb="7">
      <t>トブキマチ</t>
    </rPh>
    <phoneticPr fontId="3"/>
  </si>
  <si>
    <t>042-691-7788</t>
  </si>
  <si>
    <t>秋山　一也</t>
    <rPh sb="0" eb="2">
      <t>アキヤマ</t>
    </rPh>
    <rPh sb="3" eb="5">
      <t>カズヤ</t>
    </rPh>
    <phoneticPr fontId="3"/>
  </si>
  <si>
    <t>27八福障収第670号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3"/>
  </si>
  <si>
    <t>変更届（医師変更（菅又章→）、～平成28年3月31日）</t>
    <rPh sb="0" eb="2">
      <t>ヘンコウ</t>
    </rPh>
    <rPh sb="2" eb="3">
      <t>トドケ</t>
    </rPh>
    <rPh sb="4" eb="6">
      <t>イシ</t>
    </rPh>
    <rPh sb="6" eb="8">
      <t>ヘンコウ</t>
    </rPh>
    <rPh sb="9" eb="11">
      <t>スガマタ</t>
    </rPh>
    <rPh sb="11" eb="12">
      <t>アキラ</t>
    </rPh>
    <rPh sb="16" eb="18">
      <t>ヘイセイ</t>
    </rPh>
    <rPh sb="20" eb="21">
      <t>ネン</t>
    </rPh>
    <rPh sb="22" eb="23">
      <t>ガツ</t>
    </rPh>
    <rPh sb="25" eb="26">
      <t>ニチ</t>
    </rPh>
    <phoneticPr fontId="3"/>
  </si>
  <si>
    <t>医療法人社団心施会　八王子東町クリニック</t>
    <rPh sb="0" eb="2">
      <t>イリョウ</t>
    </rPh>
    <rPh sb="2" eb="4">
      <t>ホウジン</t>
    </rPh>
    <rPh sb="4" eb="6">
      <t>シャダン</t>
    </rPh>
    <rPh sb="6" eb="7">
      <t>ココロ</t>
    </rPh>
    <rPh sb="7" eb="8">
      <t>ホドコ</t>
    </rPh>
    <rPh sb="8" eb="9">
      <t>カイ</t>
    </rPh>
    <phoneticPr fontId="8"/>
  </si>
  <si>
    <t>1-25</t>
  </si>
  <si>
    <t>やまゆりクリニック</t>
    <phoneticPr fontId="8"/>
  </si>
  <si>
    <t>八王子市横川町９２４－２</t>
    <rPh sb="0" eb="4">
      <t>ハチオウジシ</t>
    </rPh>
    <rPh sb="4" eb="7">
      <t>ヨコカワマチ</t>
    </rPh>
    <phoneticPr fontId="8"/>
  </si>
  <si>
    <t>042-686-1311</t>
    <phoneticPr fontId="8"/>
  </si>
  <si>
    <t>10腎臓</t>
    <phoneticPr fontId="8"/>
  </si>
  <si>
    <t>28八福障収第179号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3"/>
  </si>
  <si>
    <t>1-23</t>
    <phoneticPr fontId="8"/>
  </si>
  <si>
    <t>佐藤　雄一</t>
    <rPh sb="0" eb="2">
      <t>サトウ</t>
    </rPh>
    <rPh sb="3" eb="5">
      <t>ユウイチ</t>
    </rPh>
    <phoneticPr fontId="8"/>
  </si>
  <si>
    <t>変更届（医師氏名（小田和　昌彦→、～平成28年6月1日））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オダ</t>
    </rPh>
    <rPh sb="11" eb="12">
      <t>ワ</t>
    </rPh>
    <rPh sb="13" eb="15">
      <t>マサヒコ</t>
    </rPh>
    <rPh sb="18" eb="20">
      <t>ヘイセイ</t>
    </rPh>
    <rPh sb="22" eb="23">
      <t>ネン</t>
    </rPh>
    <rPh sb="24" eb="25">
      <t>ガツ</t>
    </rPh>
    <rPh sb="26" eb="27">
      <t>ニチ</t>
    </rPh>
    <phoneticPr fontId="3"/>
  </si>
  <si>
    <t>1-26</t>
  </si>
  <si>
    <t>192-0083</t>
    <phoneticPr fontId="3"/>
  </si>
  <si>
    <t>八王子市旭町９－１　八王子スクエアビル10Ｆ</t>
    <rPh sb="0" eb="4">
      <t>ハチオウジシ</t>
    </rPh>
    <rPh sb="4" eb="6">
      <t>アサヒマチ</t>
    </rPh>
    <rPh sb="10" eb="13">
      <t>ハチオウジ</t>
    </rPh>
    <phoneticPr fontId="3"/>
  </si>
  <si>
    <t>042-649-3090</t>
    <phoneticPr fontId="3"/>
  </si>
  <si>
    <t>中村　朋子</t>
    <rPh sb="0" eb="2">
      <t>ナカムラ</t>
    </rPh>
    <rPh sb="3" eb="5">
      <t>トモコ</t>
    </rPh>
    <phoneticPr fontId="3"/>
  </si>
  <si>
    <t>28八福障収第969号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0" eb="11">
      <t>ゴウ</t>
    </rPh>
    <phoneticPr fontId="3"/>
  </si>
  <si>
    <t>206-0036</t>
    <phoneticPr fontId="3"/>
  </si>
  <si>
    <t>東京都多摩市中沢１－３１－１</t>
    <rPh sb="0" eb="3">
      <t>トウキョウト</t>
    </rPh>
    <rPh sb="3" eb="6">
      <t>タマシ</t>
    </rPh>
    <rPh sb="6" eb="8">
      <t>ナカザワ</t>
    </rPh>
    <phoneticPr fontId="3"/>
  </si>
  <si>
    <t>252-0134</t>
    <phoneticPr fontId="3"/>
  </si>
  <si>
    <t>神奈川県相模原市緑区下九沢２０３８－１－７２２</t>
    <rPh sb="0" eb="4">
      <t>カナガワケン</t>
    </rPh>
    <rPh sb="4" eb="8">
      <t>サガミハラシ</t>
    </rPh>
    <rPh sb="8" eb="10">
      <t>ミドリク</t>
    </rPh>
    <rPh sb="10" eb="11">
      <t>シモ</t>
    </rPh>
    <rPh sb="11" eb="12">
      <t>キュウ</t>
    </rPh>
    <rPh sb="12" eb="13">
      <t>ザワ</t>
    </rPh>
    <phoneticPr fontId="3"/>
  </si>
  <si>
    <t>193-0998</t>
  </si>
  <si>
    <t>193-0998</t>
    <phoneticPr fontId="3"/>
  </si>
  <si>
    <t>1-17</t>
    <phoneticPr fontId="3"/>
  </si>
  <si>
    <t>神保　洋之</t>
    <rPh sb="0" eb="2">
      <t>ジンボ</t>
    </rPh>
    <rPh sb="3" eb="5">
      <t>ヒロユキ</t>
    </rPh>
    <phoneticPr fontId="3"/>
  </si>
  <si>
    <t>160-8402</t>
    <phoneticPr fontId="3"/>
  </si>
  <si>
    <t>変更届（医師変更（池田　幸穗→）、～平成29年3月31日）</t>
    <rPh sb="0" eb="3">
      <t>ヘンコウトドケ</t>
    </rPh>
    <rPh sb="4" eb="6">
      <t>イシ</t>
    </rPh>
    <rPh sb="6" eb="8">
      <t>ヘンコウ</t>
    </rPh>
    <rPh sb="9" eb="11">
      <t>イケダ</t>
    </rPh>
    <rPh sb="12" eb="13">
      <t>シアワ</t>
    </rPh>
    <rPh sb="13" eb="14">
      <t>ミノル</t>
    </rPh>
    <rPh sb="18" eb="20">
      <t>ヘイセイ</t>
    </rPh>
    <rPh sb="22" eb="23">
      <t>ネン</t>
    </rPh>
    <rPh sb="24" eb="25">
      <t>ガツ</t>
    </rPh>
    <rPh sb="27" eb="28">
      <t>ニチ</t>
    </rPh>
    <phoneticPr fontId="3"/>
  </si>
  <si>
    <t>変更届（開設者名遠山愼一(ｺｰﾄﾞ2929883→、～平成29年3月1日）</t>
    <rPh sb="0" eb="3">
      <t>ヘンコウトドケ</t>
    </rPh>
    <rPh sb="4" eb="7">
      <t>カイセツシャ</t>
    </rPh>
    <rPh sb="7" eb="8">
      <t>メイ</t>
    </rPh>
    <rPh sb="8" eb="10">
      <t>トオヤマ</t>
    </rPh>
    <rPh sb="10" eb="11">
      <t>シン</t>
    </rPh>
    <rPh sb="11" eb="12">
      <t>イチ</t>
    </rPh>
    <rPh sb="27" eb="29">
      <t>ヘイセイ</t>
    </rPh>
    <rPh sb="31" eb="32">
      <t>ネン</t>
    </rPh>
    <rPh sb="33" eb="34">
      <t>ガツ</t>
    </rPh>
    <rPh sb="35" eb="36">
      <t>ニチ</t>
    </rPh>
    <phoneticPr fontId="8"/>
  </si>
  <si>
    <t>193-0823</t>
    <phoneticPr fontId="8"/>
  </si>
  <si>
    <t>変更届（医師氏名（藤井　毅→）、～平成29年12月31日）</t>
    <rPh sb="0" eb="3">
      <t>ヘンコウトドケ</t>
    </rPh>
    <rPh sb="4" eb="6">
      <t>イシ</t>
    </rPh>
    <rPh sb="6" eb="8">
      <t>シメイ</t>
    </rPh>
    <rPh sb="17" eb="19">
      <t>ヘイセイ</t>
    </rPh>
    <rPh sb="21" eb="22">
      <t>ネン</t>
    </rPh>
    <rPh sb="24" eb="25">
      <t>ツキ</t>
    </rPh>
    <rPh sb="27" eb="28">
      <t>ニチ</t>
    </rPh>
    <phoneticPr fontId="3"/>
  </si>
  <si>
    <t>変更届（医師氏名（田中　朝志→）、～平成30年3月31日）</t>
    <phoneticPr fontId="3"/>
  </si>
  <si>
    <t>平井　由児</t>
    <rPh sb="0" eb="2">
      <t>ヒライ</t>
    </rPh>
    <rPh sb="3" eb="4">
      <t>ユウ</t>
    </rPh>
    <rPh sb="4" eb="5">
      <t>ジ</t>
    </rPh>
    <phoneticPr fontId="3"/>
  </si>
  <si>
    <t>変更届（医師氏名（岩本　整→）、～平成30年６月30日）</t>
    <phoneticPr fontId="3"/>
  </si>
  <si>
    <t>河地　茂行</t>
    <rPh sb="0" eb="2">
      <t>カワチ</t>
    </rPh>
    <rPh sb="3" eb="5">
      <t>シゲユキ</t>
    </rPh>
    <phoneticPr fontId="3"/>
  </si>
  <si>
    <t xml:space="preserve">180-0004  </t>
  </si>
  <si>
    <t>東京都八王子市大和田町６－２０－６</t>
    <rPh sb="0" eb="3">
      <t>トウキョウト</t>
    </rPh>
    <rPh sb="3" eb="6">
      <t>ハチオウジ</t>
    </rPh>
    <rPh sb="6" eb="7">
      <t>シ</t>
    </rPh>
    <rPh sb="7" eb="10">
      <t>オオワダ</t>
    </rPh>
    <rPh sb="10" eb="11">
      <t>マチ</t>
    </rPh>
    <phoneticPr fontId="3"/>
  </si>
  <si>
    <t>変更届（医師氏名（永原　幸→、～平成30年3月31日））</t>
    <rPh sb="0" eb="3">
      <t>ヘンコウトドケ</t>
    </rPh>
    <rPh sb="4" eb="6">
      <t>イシ</t>
    </rPh>
    <rPh sb="6" eb="8">
      <t>シメイ</t>
    </rPh>
    <rPh sb="16" eb="18">
      <t>ヘイセイ</t>
    </rPh>
    <rPh sb="20" eb="21">
      <t>ネン</t>
    </rPh>
    <rPh sb="22" eb="23">
      <t>ガツ</t>
    </rPh>
    <rPh sb="25" eb="26">
      <t>ニチ</t>
    </rPh>
    <phoneticPr fontId="3"/>
  </si>
  <si>
    <t>木村　至</t>
    <rPh sb="0" eb="2">
      <t>キムラ</t>
    </rPh>
    <rPh sb="3" eb="4">
      <t>イタ</t>
    </rPh>
    <phoneticPr fontId="3"/>
  </si>
  <si>
    <t>東京都八王子市上川町２１５０</t>
    <rPh sb="0" eb="3">
      <t>トウキョウト</t>
    </rPh>
    <phoneticPr fontId="3"/>
  </si>
  <si>
    <t>192-0151</t>
    <phoneticPr fontId="3"/>
  </si>
  <si>
    <t>194-0021</t>
    <phoneticPr fontId="3"/>
  </si>
  <si>
    <t>183-0055</t>
  </si>
  <si>
    <t>183-0055</t>
    <phoneticPr fontId="3"/>
  </si>
  <si>
    <t>東京都府中市府中町１－８－１　第７三ツ木ビル</t>
    <rPh sb="0" eb="3">
      <t>トウキョウト</t>
    </rPh>
    <rPh sb="3" eb="6">
      <t>フチュウシ</t>
    </rPh>
    <rPh sb="6" eb="8">
      <t>フチュウ</t>
    </rPh>
    <rPh sb="8" eb="9">
      <t>マチ</t>
    </rPh>
    <rPh sb="15" eb="16">
      <t>ダイ</t>
    </rPh>
    <rPh sb="17" eb="18">
      <t>ミ</t>
    </rPh>
    <rPh sb="19" eb="20">
      <t>ギ</t>
    </rPh>
    <phoneticPr fontId="3"/>
  </si>
  <si>
    <t>192-0046</t>
    <phoneticPr fontId="3"/>
  </si>
  <si>
    <t>東京都八王子市明神町３－２１－１</t>
    <rPh sb="0" eb="3">
      <t>トウキョウト</t>
    </rPh>
    <phoneticPr fontId="3"/>
  </si>
  <si>
    <t>193-0835</t>
    <phoneticPr fontId="3"/>
  </si>
  <si>
    <t>東京都八王子市千人町２－１８－１５</t>
    <rPh sb="0" eb="3">
      <t>トウキョウト</t>
    </rPh>
    <phoneticPr fontId="3"/>
  </si>
  <si>
    <t>187-0001</t>
    <phoneticPr fontId="3"/>
  </si>
  <si>
    <t>東京都小平市大沼町２－２－１１</t>
    <rPh sb="0" eb="3">
      <t>トウキョウト</t>
    </rPh>
    <rPh sb="3" eb="6">
      <t>コダイラシ</t>
    </rPh>
    <rPh sb="6" eb="9">
      <t>オオヌマチョウ</t>
    </rPh>
    <phoneticPr fontId="3"/>
  </si>
  <si>
    <t>192-0916</t>
    <phoneticPr fontId="3"/>
  </si>
  <si>
    <t>東京都八王子市みなみ野４－１５－７</t>
    <rPh sb="0" eb="3">
      <t>トウキョウト</t>
    </rPh>
    <phoneticPr fontId="3"/>
  </si>
  <si>
    <t>192-0042</t>
    <phoneticPr fontId="3"/>
  </si>
  <si>
    <t>東京都八王子市中野山王２－１５－１６</t>
    <rPh sb="0" eb="3">
      <t>トウキョウト</t>
    </rPh>
    <rPh sb="3" eb="7">
      <t>ハチオウジシ</t>
    </rPh>
    <rPh sb="7" eb="11">
      <t>ナカノサンノウ</t>
    </rPh>
    <phoneticPr fontId="3"/>
  </si>
  <si>
    <t>変更届（開設者（朝倉忠孝）・医療機関名称・コード（2970168）　滝山病院→、～平成28年12月31日）</t>
    <rPh sb="0" eb="2">
      <t>ヘンコウ</t>
    </rPh>
    <rPh sb="2" eb="3">
      <t>トド</t>
    </rPh>
    <rPh sb="4" eb="7">
      <t>カイセツシャ</t>
    </rPh>
    <rPh sb="8" eb="10">
      <t>アサクラ</t>
    </rPh>
    <rPh sb="10" eb="12">
      <t>タダタカ</t>
    </rPh>
    <rPh sb="14" eb="16">
      <t>イリョウ</t>
    </rPh>
    <rPh sb="16" eb="18">
      <t>キカン</t>
    </rPh>
    <rPh sb="18" eb="20">
      <t>メイショウ</t>
    </rPh>
    <rPh sb="34" eb="36">
      <t>タキヤマ</t>
    </rPh>
    <rPh sb="36" eb="38">
      <t>ビョウイン</t>
    </rPh>
    <rPh sb="41" eb="43">
      <t>ヘイセイ</t>
    </rPh>
    <rPh sb="45" eb="46">
      <t>ネン</t>
    </rPh>
    <rPh sb="48" eb="49">
      <t>ガツ</t>
    </rPh>
    <rPh sb="51" eb="52">
      <t>ニチ</t>
    </rPh>
    <phoneticPr fontId="8"/>
  </si>
  <si>
    <t>変更届（医療機関名（八王子東町クリニック→、開設者名（杉崎弘章）(ｺｰﾄﾞ2925691）→、～平成28年5月31日）</t>
    <rPh sb="0" eb="3">
      <t>ヘンコウトドケ</t>
    </rPh>
    <rPh sb="4" eb="6">
      <t>イリョウ</t>
    </rPh>
    <rPh sb="6" eb="8">
      <t>キカン</t>
    </rPh>
    <rPh sb="8" eb="9">
      <t>メイ</t>
    </rPh>
    <rPh sb="10" eb="13">
      <t>ハチオウジ</t>
    </rPh>
    <rPh sb="13" eb="14">
      <t>アズマ</t>
    </rPh>
    <rPh sb="14" eb="15">
      <t>チョウ</t>
    </rPh>
    <rPh sb="22" eb="25">
      <t>カイセツシャ</t>
    </rPh>
    <rPh sb="25" eb="26">
      <t>メイ</t>
    </rPh>
    <rPh sb="27" eb="29">
      <t>スギサキ</t>
    </rPh>
    <rPh sb="29" eb="31">
      <t>ヒロアキ</t>
    </rPh>
    <rPh sb="48" eb="50">
      <t>ヘイセイ</t>
    </rPh>
    <rPh sb="52" eb="53">
      <t>ネン</t>
    </rPh>
    <rPh sb="54" eb="55">
      <t>ガツ</t>
    </rPh>
    <rPh sb="57" eb="58">
      <t>ニチ</t>
    </rPh>
    <phoneticPr fontId="8"/>
  </si>
  <si>
    <t>変更届（開設者所在地（町田市中町1-11-11→）、～平成27年7月31日）</t>
    <rPh sb="0" eb="3">
      <t>ヘンコウトドケ</t>
    </rPh>
    <rPh sb="4" eb="7">
      <t>カイセツシャ</t>
    </rPh>
    <rPh sb="7" eb="10">
      <t>ショザイチ</t>
    </rPh>
    <rPh sb="11" eb="14">
      <t>マチダシ</t>
    </rPh>
    <rPh sb="14" eb="16">
      <t>ナカチョウ</t>
    </rPh>
    <rPh sb="27" eb="29">
      <t>ヘイセイ</t>
    </rPh>
    <rPh sb="31" eb="32">
      <t>ネン</t>
    </rPh>
    <rPh sb="33" eb="34">
      <t>ガツ</t>
    </rPh>
    <rPh sb="36" eb="37">
      <t>ニチ</t>
    </rPh>
    <phoneticPr fontId="3"/>
  </si>
  <si>
    <t>東京都町田市中町１－２３－３</t>
    <rPh sb="0" eb="3">
      <t>トウキョウト</t>
    </rPh>
    <rPh sb="3" eb="6">
      <t>マチダシ</t>
    </rPh>
    <rPh sb="6" eb="8">
      <t>ナカチョウ</t>
    </rPh>
    <phoneticPr fontId="3"/>
  </si>
  <si>
    <t>変更届（医師氏名（杉崎　弘章→）、～平成29年12月31日）</t>
    <rPh sb="0" eb="3">
      <t>ヘンコウトドケ</t>
    </rPh>
    <rPh sb="4" eb="6">
      <t>イシ</t>
    </rPh>
    <rPh sb="6" eb="8">
      <t>シメイ</t>
    </rPh>
    <rPh sb="18" eb="20">
      <t>ヘイセイ</t>
    </rPh>
    <rPh sb="22" eb="23">
      <t>ネン</t>
    </rPh>
    <rPh sb="25" eb="26">
      <t>ツキ</t>
    </rPh>
    <rPh sb="28" eb="29">
      <t>ニチ</t>
    </rPh>
    <phoneticPr fontId="3"/>
  </si>
  <si>
    <t>変更届（医師氏名（山口　利仁→、～平成27年10月８日））</t>
    <rPh sb="0" eb="2">
      <t>ヘンコウ</t>
    </rPh>
    <rPh sb="2" eb="3">
      <t>トドケ</t>
    </rPh>
    <rPh sb="4" eb="6">
      <t>イシ</t>
    </rPh>
    <rPh sb="6" eb="8">
      <t>シメイ</t>
    </rPh>
    <rPh sb="9" eb="11">
      <t>ヤマグチ</t>
    </rPh>
    <rPh sb="12" eb="13">
      <t>トシ</t>
    </rPh>
    <rPh sb="17" eb="19">
      <t>ヘイセイ</t>
    </rPh>
    <rPh sb="21" eb="22">
      <t>ネン</t>
    </rPh>
    <rPh sb="24" eb="25">
      <t>ガツ</t>
    </rPh>
    <rPh sb="26" eb="27">
      <t>ニチ</t>
    </rPh>
    <phoneticPr fontId="3"/>
  </si>
  <si>
    <t>山岸　正明</t>
    <rPh sb="0" eb="2">
      <t>ヤマギシ</t>
    </rPh>
    <rPh sb="3" eb="5">
      <t>マサアキ</t>
    </rPh>
    <phoneticPr fontId="3"/>
  </si>
  <si>
    <t>30八福障収第2448号</t>
    <rPh sb="2" eb="3">
      <t>ハチ</t>
    </rPh>
    <rPh sb="3" eb="4">
      <t>フク</t>
    </rPh>
    <rPh sb="4" eb="5">
      <t>ショウ</t>
    </rPh>
    <rPh sb="5" eb="6">
      <t>シュウ</t>
    </rPh>
    <rPh sb="6" eb="7">
      <t>ダイ</t>
    </rPh>
    <rPh sb="11" eb="12">
      <t>ゴウ</t>
    </rPh>
    <phoneticPr fontId="3"/>
  </si>
  <si>
    <t>医療法人社団圭徳会　八王子腎クリニック</t>
    <rPh sb="6" eb="7">
      <t>ケイ</t>
    </rPh>
    <rPh sb="7" eb="8">
      <t>トク</t>
    </rPh>
    <rPh sb="8" eb="9">
      <t>カイ</t>
    </rPh>
    <phoneticPr fontId="3"/>
  </si>
  <si>
    <t>東京都武蔵野市吉祥寺本町１－３１－１１
ＫＳビル6階</t>
    <rPh sb="0" eb="3">
      <t>トウキョウト</t>
    </rPh>
    <rPh sb="3" eb="7">
      <t>ムサシノシ</t>
    </rPh>
    <rPh sb="7" eb="10">
      <t>キチジョウジ</t>
    </rPh>
    <rPh sb="10" eb="12">
      <t>ホンチョウ</t>
    </rPh>
    <rPh sb="25" eb="26">
      <t>カイ</t>
    </rPh>
    <phoneticPr fontId="3"/>
  </si>
  <si>
    <t>医療法人社団圭徳会　高尾駅前クリニック</t>
    <rPh sb="6" eb="7">
      <t>ケイ</t>
    </rPh>
    <rPh sb="7" eb="8">
      <t>トク</t>
    </rPh>
    <phoneticPr fontId="3"/>
  </si>
  <si>
    <t>変更届（開設者名（医療法人社団　東仁会）開設者住所（東京都武蔵野市吉祥寺本町１－３０－１２）医療機関名（医療法人社団東仁会　高尾駅前クリニック）(ｺｰﾄﾞ2926277)→）、～平成31年4月30日）</t>
    <rPh sb="62" eb="64">
      <t>タカオ</t>
    </rPh>
    <rPh sb="64" eb="66">
      <t>エキマエ</t>
    </rPh>
    <rPh sb="89" eb="91">
      <t>ヘイセイ</t>
    </rPh>
    <phoneticPr fontId="3"/>
  </si>
  <si>
    <t>変更届（開設者名（医療法人社団　東仁会）開設者住所（東京都武蔵野市吉祥寺本町１－３０－１２）医療機関名（医療法人社団東仁会　八王子腎クリニック）(ｺｰﾄﾞ2928984)→）、～平成31年4月30日）</t>
    <rPh sb="0" eb="2">
      <t>ヘンコウ</t>
    </rPh>
    <rPh sb="2" eb="3">
      <t>トドケ</t>
    </rPh>
    <rPh sb="4" eb="7">
      <t>カイセツシャ</t>
    </rPh>
    <rPh sb="7" eb="8">
      <t>メイ</t>
    </rPh>
    <rPh sb="20" eb="23">
      <t>カイセツシャ</t>
    </rPh>
    <rPh sb="23" eb="25">
      <t>ジュウショ</t>
    </rPh>
    <rPh sb="46" eb="48">
      <t>イリョウ</t>
    </rPh>
    <rPh sb="48" eb="50">
      <t>キカン</t>
    </rPh>
    <rPh sb="50" eb="51">
      <t>メイ</t>
    </rPh>
    <rPh sb="89" eb="91">
      <t>ヘイセイ</t>
    </rPh>
    <rPh sb="93" eb="94">
      <t>ネン</t>
    </rPh>
    <rPh sb="95" eb="96">
      <t>ガツ</t>
    </rPh>
    <rPh sb="98" eb="99">
      <t>ニチ</t>
    </rPh>
    <phoneticPr fontId="3"/>
  </si>
  <si>
    <t>変更届（主たる医師（朝倉忠孝）→、開設者住所（東京都小金井市本町３－１０－９）～令和元年6月23日）</t>
    <rPh sb="0" eb="3">
      <t>ヘンコウトドケ</t>
    </rPh>
    <rPh sb="4" eb="5">
      <t>シュ</t>
    </rPh>
    <rPh sb="7" eb="9">
      <t>イシ</t>
    </rPh>
    <rPh sb="10" eb="12">
      <t>アサクラ</t>
    </rPh>
    <rPh sb="12" eb="14">
      <t>タダタカ</t>
    </rPh>
    <rPh sb="17" eb="20">
      <t>カイセツシャ</t>
    </rPh>
    <rPh sb="20" eb="22">
      <t>ジュウショ</t>
    </rPh>
    <rPh sb="40" eb="41">
      <t>レイ</t>
    </rPh>
    <rPh sb="41" eb="42">
      <t>ワ</t>
    </rPh>
    <rPh sb="42" eb="44">
      <t>ガンネン</t>
    </rPh>
    <rPh sb="45" eb="46">
      <t>ガツ</t>
    </rPh>
    <rPh sb="48" eb="49">
      <t>ニチ</t>
    </rPh>
    <phoneticPr fontId="3"/>
  </si>
  <si>
    <t>193-0802</t>
    <phoneticPr fontId="3"/>
  </si>
  <si>
    <t>193-0802</t>
    <phoneticPr fontId="8"/>
  </si>
  <si>
    <t>八王子市犬目町６４１</t>
    <phoneticPr fontId="3"/>
  </si>
  <si>
    <t>東京都八王子市犬目町６４１</t>
    <rPh sb="0" eb="3">
      <t>トウキョウト</t>
    </rPh>
    <phoneticPr fontId="3"/>
  </si>
  <si>
    <t>1-27</t>
  </si>
  <si>
    <t>医療法人社団永康会　西八王子腎クリニック</t>
    <rPh sb="0" eb="2">
      <t>イリョウ</t>
    </rPh>
    <rPh sb="2" eb="4">
      <t>ホウジン</t>
    </rPh>
    <rPh sb="4" eb="6">
      <t>シャダン</t>
    </rPh>
    <rPh sb="6" eb="7">
      <t>エイ</t>
    </rPh>
    <rPh sb="7" eb="8">
      <t>ヤスシ</t>
    </rPh>
    <rPh sb="8" eb="9">
      <t>カイ</t>
    </rPh>
    <rPh sb="10" eb="14">
      <t>ニシハチオウジ</t>
    </rPh>
    <rPh sb="14" eb="15">
      <t>ジン</t>
    </rPh>
    <phoneticPr fontId="3"/>
  </si>
  <si>
    <t>八王子市千人町３－１－１９　１～４階</t>
    <rPh sb="0" eb="4">
      <t>ハチオウジシ</t>
    </rPh>
    <rPh sb="17" eb="18">
      <t>カイ</t>
    </rPh>
    <phoneticPr fontId="3"/>
  </si>
  <si>
    <t>042-662-1020</t>
    <phoneticPr fontId="3"/>
  </si>
  <si>
    <t>10腎臓</t>
    <phoneticPr fontId="3"/>
  </si>
  <si>
    <t>31八福障収第1058号</t>
    <rPh sb="2" eb="3">
      <t>ハチ</t>
    </rPh>
    <rPh sb="3" eb="4">
      <t>フク</t>
    </rPh>
    <rPh sb="4" eb="5">
      <t>ショウ</t>
    </rPh>
    <rPh sb="5" eb="6">
      <t>オサム</t>
    </rPh>
    <rPh sb="6" eb="7">
      <t>ダイ</t>
    </rPh>
    <rPh sb="11" eb="12">
      <t>ゴウ</t>
    </rPh>
    <phoneticPr fontId="3"/>
  </si>
  <si>
    <t>櫛山　武俊</t>
    <rPh sb="0" eb="2">
      <t>クシヤマ</t>
    </rPh>
    <rPh sb="3" eb="5">
      <t>タケトシ</t>
    </rPh>
    <phoneticPr fontId="3"/>
  </si>
  <si>
    <t>医療法人社団東光会　八王子山王病院</t>
    <rPh sb="6" eb="8">
      <t>トウコウ</t>
    </rPh>
    <rPh sb="8" eb="9">
      <t>カイ</t>
    </rPh>
    <phoneticPr fontId="3"/>
  </si>
  <si>
    <t>変更届（医師氏名（飯髙　喜久雄→、～令和2年7月1日））</t>
    <rPh sb="0" eb="2">
      <t>ヘンコウ</t>
    </rPh>
    <rPh sb="2" eb="3">
      <t>トドケ</t>
    </rPh>
    <rPh sb="4" eb="6">
      <t>イシ</t>
    </rPh>
    <rPh sb="6" eb="8">
      <t>シメイ</t>
    </rPh>
    <rPh sb="9" eb="10">
      <t>イイ</t>
    </rPh>
    <rPh sb="10" eb="11">
      <t>タカ</t>
    </rPh>
    <rPh sb="12" eb="15">
      <t>キクオ</t>
    </rPh>
    <rPh sb="18" eb="20">
      <t>レイワ</t>
    </rPh>
    <rPh sb="21" eb="22">
      <t>ネン</t>
    </rPh>
    <rPh sb="23" eb="24">
      <t>ガツ</t>
    </rPh>
    <rPh sb="25" eb="26">
      <t>ニチ</t>
    </rPh>
    <phoneticPr fontId="3"/>
  </si>
  <si>
    <t>変更届（①医療機関名（医療法人社団徳成会　八王子山王病院→）、②開設者氏名（中村　隆俊→中村　毅）～令和2年7月1日)</t>
    <rPh sb="0" eb="2">
      <t>ヘンコウ</t>
    </rPh>
    <rPh sb="2" eb="3">
      <t>トドケ</t>
    </rPh>
    <rPh sb="5" eb="10">
      <t>イリョウキカンメイ</t>
    </rPh>
    <rPh sb="11" eb="20">
      <t>イリョウホウジンシャダントクセイカイ</t>
    </rPh>
    <rPh sb="21" eb="28">
      <t>ハチオウジサンノウビョウイン</t>
    </rPh>
    <rPh sb="32" eb="37">
      <t>カイセツシャシメイ</t>
    </rPh>
    <rPh sb="38" eb="40">
      <t>ナカムラ</t>
    </rPh>
    <rPh sb="41" eb="43">
      <t>タカトシ</t>
    </rPh>
    <rPh sb="44" eb="46">
      <t>ナカムラ</t>
    </rPh>
    <rPh sb="47" eb="48">
      <t>ツヨシ</t>
    </rPh>
    <rPh sb="50" eb="52">
      <t>レイワ</t>
    </rPh>
    <rPh sb="53" eb="54">
      <t>ネン</t>
    </rPh>
    <rPh sb="55" eb="56">
      <t>ガツ</t>
    </rPh>
    <rPh sb="57" eb="58">
      <t>ニチ</t>
    </rPh>
    <phoneticPr fontId="3"/>
  </si>
  <si>
    <t>医療法人社団松和会　北八王子クリニック</t>
    <rPh sb="6" eb="7">
      <t>マツ</t>
    </rPh>
    <rPh sb="7" eb="8">
      <t>ワ</t>
    </rPh>
    <phoneticPr fontId="3"/>
  </si>
  <si>
    <t>変更届（法人名称（医療法人社団欅会 北八王子クリニック→）、医療機関コード（2927739→））、令和３年２月１日～</t>
    <rPh sb="0" eb="2">
      <t>ヘンコウ</t>
    </rPh>
    <rPh sb="2" eb="3">
      <t>トドケ</t>
    </rPh>
    <rPh sb="4" eb="6">
      <t>ホウジン</t>
    </rPh>
    <rPh sb="6" eb="8">
      <t>メイショウ</t>
    </rPh>
    <rPh sb="9" eb="11">
      <t>イリョウ</t>
    </rPh>
    <rPh sb="11" eb="13">
      <t>ホウジン</t>
    </rPh>
    <rPh sb="13" eb="15">
      <t>シャダン</t>
    </rPh>
    <rPh sb="15" eb="16">
      <t>ケヤキ</t>
    </rPh>
    <rPh sb="16" eb="17">
      <t>カイ</t>
    </rPh>
    <rPh sb="18" eb="19">
      <t>キタ</t>
    </rPh>
    <rPh sb="19" eb="22">
      <t>ハチオウジ</t>
    </rPh>
    <rPh sb="30" eb="32">
      <t>イリョウ</t>
    </rPh>
    <rPh sb="32" eb="34">
      <t>キカン</t>
    </rPh>
    <rPh sb="49" eb="51">
      <t>レイワ</t>
    </rPh>
    <rPh sb="52" eb="53">
      <t>ネン</t>
    </rPh>
    <rPh sb="54" eb="55">
      <t>ガツ</t>
    </rPh>
    <rPh sb="56" eb="57">
      <t>ニチ</t>
    </rPh>
    <phoneticPr fontId="3"/>
  </si>
  <si>
    <t>変更届（設備変更（ベッド及び透析装置15床→25床、～令和3年8月2日））</t>
    <rPh sb="0" eb="2">
      <t>ヘンコウ</t>
    </rPh>
    <rPh sb="2" eb="3">
      <t>トドケ</t>
    </rPh>
    <rPh sb="4" eb="6">
      <t>セツビ</t>
    </rPh>
    <rPh sb="6" eb="8">
      <t>ヘンコウ</t>
    </rPh>
    <rPh sb="12" eb="13">
      <t>オヨ</t>
    </rPh>
    <rPh sb="14" eb="16">
      <t>トウセキ</t>
    </rPh>
    <rPh sb="16" eb="18">
      <t>ソウチ</t>
    </rPh>
    <rPh sb="20" eb="21">
      <t>ユカ</t>
    </rPh>
    <rPh sb="24" eb="25">
      <t>ユカ</t>
    </rPh>
    <rPh sb="27" eb="28">
      <t>レイ</t>
    </rPh>
    <rPh sb="28" eb="29">
      <t>ワ</t>
    </rPh>
    <rPh sb="30" eb="31">
      <t>ネン</t>
    </rPh>
    <rPh sb="32" eb="33">
      <t>ガツ</t>
    </rPh>
    <rPh sb="34" eb="35">
      <t>ニチ</t>
    </rPh>
    <phoneticPr fontId="3"/>
  </si>
  <si>
    <t>3八福障収第645号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3"/>
  </si>
  <si>
    <t>赤坂　純逸</t>
    <rPh sb="0" eb="2">
      <t>アカサカ</t>
    </rPh>
    <rPh sb="3" eb="4">
      <t>ジュン</t>
    </rPh>
    <rPh sb="4" eb="5">
      <t>イツ</t>
    </rPh>
    <phoneticPr fontId="5"/>
  </si>
  <si>
    <r>
      <t>変更届（医師変更（進藤　俊哉→、～令和3年３月31日））</t>
    </r>
    <r>
      <rPr>
        <sz val="11"/>
        <color indexed="8"/>
        <rFont val="ＭＳ Ｐゴシック"/>
        <family val="3"/>
        <charset val="128"/>
      </rPr>
      <t/>
    </r>
    <rPh sb="0" eb="3">
      <t>へんこうとどけ</t>
    </rPh>
    <rPh sb="4" eb="6">
      <t>いし</t>
    </rPh>
    <rPh sb="6" eb="8">
      <t>へんこう</t>
    </rPh>
    <rPh sb="9" eb="11">
      <t>しんどう</t>
    </rPh>
    <rPh sb="12" eb="14">
      <t>としや</t>
    </rPh>
    <rPh sb="17" eb="19">
      <t>れいわ</t>
    </rPh>
    <rPh sb="20" eb="21">
      <t>ねん</t>
    </rPh>
    <rPh sb="22" eb="23">
      <t>つき</t>
    </rPh>
    <rPh sb="25" eb="26">
      <t>ひ</t>
    </rPh>
    <phoneticPr fontId="3" type="Hiragana"/>
  </si>
  <si>
    <t>1-28</t>
    <phoneticPr fontId="3"/>
  </si>
  <si>
    <t>1-29</t>
    <phoneticPr fontId="3"/>
  </si>
  <si>
    <t>医療法人社団松和会　田島橋クリニック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rPh sb="10" eb="12">
      <t>タジマ</t>
    </rPh>
    <rPh sb="12" eb="13">
      <t>バシ</t>
    </rPh>
    <phoneticPr fontId="3"/>
  </si>
  <si>
    <t>192-0032</t>
    <phoneticPr fontId="3"/>
  </si>
  <si>
    <t>八王子市石川町４８６－１</t>
    <rPh sb="0" eb="4">
      <t>ハチオウジシ</t>
    </rPh>
    <rPh sb="4" eb="7">
      <t>イシカワマチ</t>
    </rPh>
    <phoneticPr fontId="3"/>
  </si>
  <si>
    <t>042-649-4890</t>
    <phoneticPr fontId="3"/>
  </si>
  <si>
    <t>医療法人社団松和会</t>
    <rPh sb="0" eb="2">
      <t>イリョウ</t>
    </rPh>
    <rPh sb="2" eb="4">
      <t>ホウジン</t>
    </rPh>
    <rPh sb="4" eb="6">
      <t>シャダン</t>
    </rPh>
    <rPh sb="6" eb="8">
      <t>マツワ</t>
    </rPh>
    <rPh sb="8" eb="9">
      <t>カイ</t>
    </rPh>
    <phoneticPr fontId="3"/>
  </si>
  <si>
    <t>160-0023</t>
    <phoneticPr fontId="3"/>
  </si>
  <si>
    <t>東京都新宿区西新宿３－１２－１２</t>
    <rPh sb="0" eb="3">
      <t>トウキョウト</t>
    </rPh>
    <rPh sb="3" eb="6">
      <t>シンジュクク</t>
    </rPh>
    <rPh sb="6" eb="9">
      <t>ニシシンジュク</t>
    </rPh>
    <phoneticPr fontId="3"/>
  </si>
  <si>
    <t>3八福障収第1720号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3"/>
  </si>
  <si>
    <t>更生医療</t>
    <phoneticPr fontId="3"/>
  </si>
  <si>
    <t>医療法人社団葵会　AOI八王子病院</t>
    <rPh sb="0" eb="2">
      <t>イリョウ</t>
    </rPh>
    <rPh sb="2" eb="4">
      <t>ホウジン</t>
    </rPh>
    <rPh sb="4" eb="6">
      <t>シャダン</t>
    </rPh>
    <rPh sb="6" eb="7">
      <t>アオイ</t>
    </rPh>
    <rPh sb="7" eb="8">
      <t>カイ</t>
    </rPh>
    <rPh sb="12" eb="15">
      <t>ハチオウジ</t>
    </rPh>
    <rPh sb="15" eb="17">
      <t>ビョウイン</t>
    </rPh>
    <phoneticPr fontId="3"/>
  </si>
  <si>
    <t>八王子市明神町４－２１－４</t>
    <rPh sb="0" eb="4">
      <t>ハチオウジシ</t>
    </rPh>
    <phoneticPr fontId="3"/>
  </si>
  <si>
    <t>042-698-0088</t>
    <phoneticPr fontId="3"/>
  </si>
  <si>
    <t>医療法人社団葵会</t>
    <rPh sb="0" eb="2">
      <t>イリョウ</t>
    </rPh>
    <rPh sb="2" eb="4">
      <t>ホウジン</t>
    </rPh>
    <rPh sb="4" eb="6">
      <t>シャダン</t>
    </rPh>
    <rPh sb="6" eb="7">
      <t>アオイ</t>
    </rPh>
    <rPh sb="7" eb="8">
      <t>カイ</t>
    </rPh>
    <phoneticPr fontId="3"/>
  </si>
  <si>
    <t>277-0803</t>
    <phoneticPr fontId="3"/>
  </si>
  <si>
    <t>千葉県柏市小青田１－３－１２</t>
    <rPh sb="0" eb="3">
      <t>チバケン</t>
    </rPh>
    <rPh sb="3" eb="5">
      <t>カシワシ</t>
    </rPh>
    <rPh sb="5" eb="6">
      <t>ショウ</t>
    </rPh>
    <rPh sb="6" eb="8">
      <t>アオタ</t>
    </rPh>
    <phoneticPr fontId="3"/>
  </si>
  <si>
    <t>有馬　博</t>
    <rPh sb="0" eb="2">
      <t>アリマ</t>
    </rPh>
    <rPh sb="3" eb="4">
      <t>ヒロシ</t>
    </rPh>
    <phoneticPr fontId="3"/>
  </si>
  <si>
    <t>3八福障収第1553号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3"/>
  </si>
  <si>
    <t>変更届（医師氏名（菅野　靖司→、～令和４年４月１日））</t>
    <rPh sb="17" eb="19">
      <t>レイワ</t>
    </rPh>
    <phoneticPr fontId="3"/>
  </si>
  <si>
    <t>福井　光峰</t>
    <rPh sb="0" eb="2">
      <t>ふくい</t>
    </rPh>
    <rPh sb="3" eb="4">
      <t>ひかり</t>
    </rPh>
    <rPh sb="4" eb="5">
      <t>みね</t>
    </rPh>
    <phoneticPr fontId="3" type="Hiragana"/>
  </si>
  <si>
    <t>3八福障収第1743号</t>
    <phoneticPr fontId="3"/>
  </si>
  <si>
    <t>発番号</t>
    <rPh sb="0" eb="1">
      <t>ハツ</t>
    </rPh>
    <rPh sb="1" eb="2">
      <t>バン</t>
    </rPh>
    <rPh sb="2" eb="3">
      <t>ゴウ</t>
    </rPh>
    <phoneticPr fontId="3"/>
  </si>
  <si>
    <t>4八福障収第282号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9" eb="10">
      <t>ゴウ</t>
    </rPh>
    <phoneticPr fontId="3"/>
  </si>
  <si>
    <t>変更届
（定員1名→30名、透析用別途及び設備1床→30床、看護師2名→3名、臨床工学技士2名→3名
令和4年5月2日～</t>
    <rPh sb="0" eb="2">
      <t>ヘンコウ</t>
    </rPh>
    <rPh sb="2" eb="3">
      <t>トドケ</t>
    </rPh>
    <rPh sb="5" eb="7">
      <t>テイイン</t>
    </rPh>
    <rPh sb="8" eb="9">
      <t>メイ</t>
    </rPh>
    <rPh sb="12" eb="13">
      <t>メイ</t>
    </rPh>
    <rPh sb="14" eb="16">
      <t>トウセキ</t>
    </rPh>
    <rPh sb="16" eb="17">
      <t>ヨウ</t>
    </rPh>
    <rPh sb="17" eb="19">
      <t>ベット</t>
    </rPh>
    <rPh sb="19" eb="20">
      <t>オヨ</t>
    </rPh>
    <rPh sb="21" eb="23">
      <t>セツビ</t>
    </rPh>
    <rPh sb="24" eb="25">
      <t>ショウ</t>
    </rPh>
    <rPh sb="28" eb="29">
      <t>ショウ</t>
    </rPh>
    <rPh sb="30" eb="33">
      <t>カンゴシ</t>
    </rPh>
    <rPh sb="34" eb="35">
      <t>メイ</t>
    </rPh>
    <rPh sb="37" eb="38">
      <t>メイ</t>
    </rPh>
    <rPh sb="39" eb="41">
      <t>リンショウ</t>
    </rPh>
    <rPh sb="41" eb="43">
      <t>コウガク</t>
    </rPh>
    <rPh sb="43" eb="45">
      <t>ギシ</t>
    </rPh>
    <rPh sb="46" eb="47">
      <t>メイ</t>
    </rPh>
    <rPh sb="49" eb="50">
      <t>メイ</t>
    </rPh>
    <rPh sb="51" eb="53">
      <t>レイワ</t>
    </rPh>
    <rPh sb="54" eb="55">
      <t>ネン</t>
    </rPh>
    <rPh sb="56" eb="57">
      <t>ガツ</t>
    </rPh>
    <rPh sb="58" eb="59">
      <t>ニチ</t>
    </rPh>
    <phoneticPr fontId="3"/>
  </si>
  <si>
    <t>片平　次郎</t>
    <rPh sb="0" eb="2">
      <t>カタヒラ</t>
    </rPh>
    <rPh sb="3" eb="5">
      <t>ジロウ</t>
    </rPh>
    <phoneticPr fontId="3"/>
  </si>
  <si>
    <t>変更届(医師（吉澤直樹→）～令和4年3月31日）</t>
    <rPh sb="0" eb="3">
      <t>ヘンコウトドケ</t>
    </rPh>
    <rPh sb="7" eb="9">
      <t>ヨシザワ</t>
    </rPh>
    <rPh sb="9" eb="11">
      <t>ナオキ</t>
    </rPh>
    <rPh sb="14" eb="16">
      <t>レイワ</t>
    </rPh>
    <rPh sb="17" eb="18">
      <t>ネン</t>
    </rPh>
    <rPh sb="19" eb="20">
      <t>ガツ</t>
    </rPh>
    <rPh sb="22" eb="23">
      <t>ヒ</t>
    </rPh>
    <phoneticPr fontId="3"/>
  </si>
  <si>
    <t>コード桁数</t>
    <rPh sb="3" eb="4">
      <t>ケタ</t>
    </rPh>
    <rPh sb="4" eb="5">
      <t>スウ</t>
    </rPh>
    <phoneticPr fontId="3"/>
  </si>
  <si>
    <t>医科/歯科</t>
    <rPh sb="0" eb="2">
      <t>イカ</t>
    </rPh>
    <rPh sb="3" eb="5">
      <t>シカ</t>
    </rPh>
    <phoneticPr fontId="3"/>
  </si>
  <si>
    <t>都13/医1/歯3</t>
  </si>
  <si>
    <t>重複</t>
    <phoneticPr fontId="3"/>
  </si>
  <si>
    <t>施設毎指定数</t>
    <phoneticPr fontId="3"/>
  </si>
  <si>
    <t>変更届（医師変更（小長井　直樹→、～平成24年９月30日））</t>
    <rPh sb="0" eb="3">
      <t>へんこうとどけ</t>
    </rPh>
    <rPh sb="4" eb="6">
      <t>いし</t>
    </rPh>
    <rPh sb="6" eb="8">
      <t>へんこう</t>
    </rPh>
    <rPh sb="9" eb="12">
      <t>こながい</t>
    </rPh>
    <rPh sb="13" eb="15">
      <t>なおき</t>
    </rPh>
    <rPh sb="18" eb="20">
      <t>へいせい</t>
    </rPh>
    <rPh sb="22" eb="23">
      <t>ねん</t>
    </rPh>
    <rPh sb="24" eb="25">
      <t>つき</t>
    </rPh>
    <rPh sb="27" eb="28">
      <t>ひ</t>
    </rPh>
    <phoneticPr fontId="3" type="Hiragana"/>
  </si>
  <si>
    <t>13-1肝臓移植</t>
    <rPh sb="4" eb="6">
      <t>かんぞう</t>
    </rPh>
    <rPh sb="6" eb="8">
      <t>いしょく</t>
    </rPh>
    <phoneticPr fontId="3" type="Hiragana"/>
  </si>
  <si>
    <t>前回以降
新規更新変更
(区市町村向)</t>
    <rPh sb="0" eb="2">
      <t>ゼンカイ</t>
    </rPh>
    <rPh sb="2" eb="4">
      <t>イコウ</t>
    </rPh>
    <rPh sb="5" eb="7">
      <t>シンキ</t>
    </rPh>
    <rPh sb="7" eb="9">
      <t>コウシン</t>
    </rPh>
    <rPh sb="9" eb="11">
      <t>ヘンコウ</t>
    </rPh>
    <rPh sb="13" eb="14">
      <t>ク</t>
    </rPh>
    <rPh sb="14" eb="17">
      <t>シチョウソン</t>
    </rPh>
    <rPh sb="17" eb="18">
      <t>ムケ</t>
    </rPh>
    <phoneticPr fontId="3"/>
  </si>
  <si>
    <t>変更届
（理事長　宮坂 康夫
→栗山 廉二郎、～令和4年2月28日）</t>
    <rPh sb="0" eb="2">
      <t>ヘンコウ</t>
    </rPh>
    <rPh sb="2" eb="3">
      <t>トドケ</t>
    </rPh>
    <rPh sb="5" eb="8">
      <t>リジチョウ</t>
    </rPh>
    <rPh sb="9" eb="11">
      <t>ミヤサカ</t>
    </rPh>
    <rPh sb="12" eb="14">
      <t>ヤスオ</t>
    </rPh>
    <rPh sb="16" eb="18">
      <t>クリヤマ</t>
    </rPh>
    <rPh sb="19" eb="22">
      <t>レンジロウ</t>
    </rPh>
    <rPh sb="24" eb="26">
      <t>レイワ</t>
    </rPh>
    <rPh sb="27" eb="28">
      <t>ネン</t>
    </rPh>
    <rPh sb="29" eb="30">
      <t>ガツ</t>
    </rPh>
    <rPh sb="32" eb="33">
      <t>ヒ</t>
    </rPh>
    <phoneticPr fontId="3"/>
  </si>
  <si>
    <t>変更届（定員（55名→48名）、～令和4年5月1日）</t>
    <phoneticPr fontId="3"/>
  </si>
  <si>
    <t>変更届
（理事長　宮坂　康夫→栗山廉二郎、～令和4年2月28日）</t>
    <rPh sb="5" eb="8">
      <t>リジチョウ</t>
    </rPh>
    <rPh sb="9" eb="11">
      <t>ミヤサカ</t>
    </rPh>
    <rPh sb="12" eb="14">
      <t>ヤスオ</t>
    </rPh>
    <rPh sb="15" eb="17">
      <t>クリヤマ</t>
    </rPh>
    <rPh sb="17" eb="20">
      <t>レンジロウ</t>
    </rPh>
    <rPh sb="22" eb="24">
      <t>レイワ</t>
    </rPh>
    <rPh sb="25" eb="26">
      <t>ネン</t>
    </rPh>
    <rPh sb="27" eb="28">
      <t>ガツ</t>
    </rPh>
    <rPh sb="30" eb="31">
      <t>ヒ</t>
    </rPh>
    <phoneticPr fontId="3"/>
  </si>
  <si>
    <t>No.</t>
    <phoneticPr fontId="3"/>
  </si>
  <si>
    <t>小松　秀平</t>
    <rPh sb="0" eb="2">
      <t>コマツ</t>
    </rPh>
    <rPh sb="3" eb="5">
      <t>シュウヘイ</t>
    </rPh>
    <phoneticPr fontId="3"/>
  </si>
  <si>
    <t>変更届（医療機関コード（2970960→）～令和2年6月30日</t>
    <rPh sb="0" eb="3">
      <t>ヘンコウトドケ</t>
    </rPh>
    <rPh sb="4" eb="8">
      <t>イリョウキカン</t>
    </rPh>
    <rPh sb="22" eb="24">
      <t>レイワ</t>
    </rPh>
    <rPh sb="25" eb="26">
      <t>ネン</t>
    </rPh>
    <rPh sb="27" eb="28">
      <t>ガツ</t>
    </rPh>
    <rPh sb="30" eb="31">
      <t>ニチ</t>
    </rPh>
    <phoneticPr fontId="3"/>
  </si>
  <si>
    <t>変更届（主たる医師の変更(井口　祐三→)～令和4年3月31日</t>
    <rPh sb="0" eb="3">
      <t>ヘンコウトドケ</t>
    </rPh>
    <rPh sb="21" eb="23">
      <t>レイワ</t>
    </rPh>
    <rPh sb="24" eb="25">
      <t>ネン</t>
    </rPh>
    <rPh sb="26" eb="27">
      <t>ガツ</t>
    </rPh>
    <rPh sb="29" eb="30">
      <t>ニチ</t>
    </rPh>
    <phoneticPr fontId="3"/>
  </si>
  <si>
    <t>東京都大田区南六郷一丁目14番11号</t>
    <rPh sb="0" eb="3">
      <t>トウキョウト</t>
    </rPh>
    <rPh sb="3" eb="6">
      <t>オオタク</t>
    </rPh>
    <rPh sb="6" eb="9">
      <t>ミナミロクゴウ</t>
    </rPh>
    <rPh sb="9" eb="12">
      <t>イッチョウメ</t>
    </rPh>
    <rPh sb="14" eb="15">
      <t>バン</t>
    </rPh>
    <rPh sb="17" eb="18">
      <t>ゴウ</t>
    </rPh>
    <phoneticPr fontId="3"/>
  </si>
  <si>
    <t>144-0045</t>
    <phoneticPr fontId="3"/>
  </si>
  <si>
    <t>医療法人社団メリア　オハナ矯正歯科クリニック</t>
    <rPh sb="0" eb="6">
      <t>イリョウホウジンシャダン</t>
    </rPh>
    <rPh sb="13" eb="15">
      <t>キョウセイ</t>
    </rPh>
    <rPh sb="15" eb="17">
      <t>シカ</t>
    </rPh>
    <phoneticPr fontId="3"/>
  </si>
  <si>
    <t>変更届（開設者住所変更（東京都世田谷区成城２－３３－１３
パールハウス服部３００２号）～令和4年12月31日）</t>
    <rPh sb="0" eb="3">
      <t>ヘンコウトドケ</t>
    </rPh>
    <rPh sb="4" eb="7">
      <t>カイセツシャ</t>
    </rPh>
    <rPh sb="7" eb="11">
      <t>ジュウショヘンコウ</t>
    </rPh>
    <rPh sb="44" eb="46">
      <t>レイワ</t>
    </rPh>
    <rPh sb="47" eb="48">
      <t>ネン</t>
    </rPh>
    <rPh sb="50" eb="51">
      <t>ガツ</t>
    </rPh>
    <rPh sb="53" eb="54">
      <t>ニチ</t>
    </rPh>
    <phoneticPr fontId="3"/>
  </si>
  <si>
    <t>変更届（名称（オハナ矯正歯科クリニック）、医療機関コード（2946861）～令和3年10月31日）</t>
    <rPh sb="0" eb="3">
      <t>ヘンコウトドケ</t>
    </rPh>
    <rPh sb="4" eb="6">
      <t>メイショウ</t>
    </rPh>
    <rPh sb="21" eb="25">
      <t>イリョウキカン</t>
    </rPh>
    <rPh sb="38" eb="40">
      <t>レイワ</t>
    </rPh>
    <rPh sb="41" eb="42">
      <t>ネン</t>
    </rPh>
    <rPh sb="44" eb="45">
      <t>ガツ</t>
    </rPh>
    <rPh sb="47" eb="48">
      <t>ニチ</t>
    </rPh>
    <phoneticPr fontId="3"/>
  </si>
  <si>
    <t>変更届（医師氏名（吉川　憲子→）、～令和５年４月１日）</t>
    <rPh sb="18" eb="20">
      <t>レイワ</t>
    </rPh>
    <phoneticPr fontId="3"/>
  </si>
  <si>
    <t>山田　宗治</t>
    <rPh sb="0" eb="2">
      <t>ヤマダ</t>
    </rPh>
    <rPh sb="3" eb="4">
      <t>ムネ</t>
    </rPh>
    <phoneticPr fontId="3"/>
  </si>
  <si>
    <t>変更届（医師氏名（佐野　圭二→）、～令和５年４月１日）</t>
    <rPh sb="9" eb="11">
      <t>サノ</t>
    </rPh>
    <rPh sb="12" eb="14">
      <t>ケイジ</t>
    </rPh>
    <rPh sb="18" eb="20">
      <t>レイワ</t>
    </rPh>
    <phoneticPr fontId="3"/>
  </si>
  <si>
    <t>4八福障収第1316号</t>
    <phoneticPr fontId="3"/>
  </si>
  <si>
    <t>4八福障収第1350号</t>
    <rPh sb="1" eb="2">
      <t>ハチ</t>
    </rPh>
    <rPh sb="2" eb="3">
      <t>フク</t>
    </rPh>
    <rPh sb="3" eb="4">
      <t>ショウ</t>
    </rPh>
    <rPh sb="4" eb="5">
      <t>シュウ</t>
    </rPh>
    <rPh sb="5" eb="6">
      <t>ダイ</t>
    </rPh>
    <rPh sb="10" eb="11">
      <t>ゴウ</t>
    </rPh>
    <phoneticPr fontId="3"/>
  </si>
  <si>
    <t>有効期限到来により失効(～平成26年６月30日）</t>
    <rPh sb="0" eb="2">
      <t>ユウコウ</t>
    </rPh>
    <rPh sb="2" eb="4">
      <t>キゲン</t>
    </rPh>
    <rPh sb="4" eb="6">
      <t>トウライ</t>
    </rPh>
    <rPh sb="9" eb="11">
      <t>シッコウ</t>
    </rPh>
    <rPh sb="13" eb="15">
      <t>ヘイセイ</t>
    </rPh>
    <rPh sb="17" eb="18">
      <t>ネン</t>
    </rPh>
    <rPh sb="19" eb="20">
      <t>ガツ</t>
    </rPh>
    <rPh sb="22" eb="23">
      <t>ヒ</t>
    </rPh>
    <phoneticPr fontId="3"/>
  </si>
  <si>
    <t>医療法人社団明和会</t>
    <phoneticPr fontId="3"/>
  </si>
  <si>
    <t>医療法人社団三友会</t>
    <phoneticPr fontId="3"/>
  </si>
  <si>
    <t>医療法人社団心施会</t>
    <phoneticPr fontId="3"/>
  </si>
  <si>
    <t>医療法人社団心施会</t>
    <rPh sb="0" eb="2">
      <t>イリョウ</t>
    </rPh>
    <rPh sb="2" eb="4">
      <t>ホウジン</t>
    </rPh>
    <rPh sb="4" eb="6">
      <t>シャダン</t>
    </rPh>
    <rPh sb="6" eb="7">
      <t>シン</t>
    </rPh>
    <rPh sb="7" eb="8">
      <t>ホドコ</t>
    </rPh>
    <rPh sb="8" eb="9">
      <t>カイ</t>
    </rPh>
    <phoneticPr fontId="8"/>
  </si>
  <si>
    <t>医療法人社団圭徳会</t>
    <rPh sb="6" eb="7">
      <t>ケイ</t>
    </rPh>
    <rPh sb="7" eb="8">
      <t>トク</t>
    </rPh>
    <rPh sb="8" eb="9">
      <t>カイ</t>
    </rPh>
    <phoneticPr fontId="3"/>
  </si>
  <si>
    <t>医療法人社団松和会</t>
    <rPh sb="6" eb="8">
      <t>マツワ</t>
    </rPh>
    <phoneticPr fontId="3"/>
  </si>
  <si>
    <t>医療法人社団幸山会</t>
    <phoneticPr fontId="3"/>
  </si>
  <si>
    <t>医療法人社団八九十会</t>
    <phoneticPr fontId="3"/>
  </si>
  <si>
    <t>医療法人社団主正会</t>
    <rPh sb="0" eb="2">
      <t>イリョウ</t>
    </rPh>
    <rPh sb="2" eb="4">
      <t>ホウジン</t>
    </rPh>
    <rPh sb="4" eb="6">
      <t>シャダン</t>
    </rPh>
    <rPh sb="6" eb="7">
      <t>シュ</t>
    </rPh>
    <rPh sb="7" eb="8">
      <t>セイ</t>
    </rPh>
    <rPh sb="8" eb="9">
      <t>カイ</t>
    </rPh>
    <phoneticPr fontId="3"/>
  </si>
  <si>
    <t>医療法人社団晋和会</t>
    <phoneticPr fontId="3"/>
  </si>
  <si>
    <t>八王子市館町１１６３</t>
    <phoneticPr fontId="3"/>
  </si>
  <si>
    <t>学校法人東京医科大学</t>
  </si>
  <si>
    <t>医療法人社団東光会</t>
    <rPh sb="6" eb="8">
      <t>トウコウ</t>
    </rPh>
    <rPh sb="8" eb="9">
      <t>カイ</t>
    </rPh>
    <phoneticPr fontId="3"/>
  </si>
  <si>
    <t>学校法人東海大学</t>
  </si>
  <si>
    <t>医療法人財団敬寿会</t>
    <rPh sb="0" eb="2">
      <t>イリョウ</t>
    </rPh>
    <rPh sb="2" eb="4">
      <t>ホウジン</t>
    </rPh>
    <rPh sb="4" eb="6">
      <t>ザイダン</t>
    </rPh>
    <rPh sb="6" eb="7">
      <t>ウヤマ</t>
    </rPh>
    <rPh sb="7" eb="8">
      <t>コトブキ</t>
    </rPh>
    <rPh sb="8" eb="9">
      <t>カイ</t>
    </rPh>
    <phoneticPr fontId="3"/>
  </si>
  <si>
    <t>医療法人社団永康会</t>
    <phoneticPr fontId="3"/>
  </si>
  <si>
    <t>【令和5年7月1日分まで】
変更届（医師氏名（→、～平成26年９月30日））</t>
    <rPh sb="1" eb="3">
      <t>レイワ</t>
    </rPh>
    <rPh sb="4" eb="5">
      <t>ネン</t>
    </rPh>
    <rPh sb="6" eb="7">
      <t>ガツ</t>
    </rPh>
    <rPh sb="8" eb="9">
      <t>ヒ</t>
    </rPh>
    <rPh sb="9" eb="10">
      <t>ブン</t>
    </rPh>
    <rPh sb="14" eb="16">
      <t>ヘンコウ</t>
    </rPh>
    <rPh sb="16" eb="17">
      <t>トドケ</t>
    </rPh>
    <rPh sb="18" eb="20">
      <t>イシ</t>
    </rPh>
    <rPh sb="20" eb="22">
      <t>シメイ</t>
    </rPh>
    <rPh sb="26" eb="28">
      <t>ヘイセイ</t>
    </rPh>
    <rPh sb="30" eb="31">
      <t>ネン</t>
    </rPh>
    <rPh sb="32" eb="33">
      <t>ガツ</t>
    </rPh>
    <rPh sb="35" eb="36">
      <t>ニチ</t>
    </rPh>
    <phoneticPr fontId="3"/>
  </si>
  <si>
    <t>【令和5年8月1日分から】
変更届（旧事項→新事項、変更日）</t>
    <rPh sb="1" eb="3">
      <t>レイワ</t>
    </rPh>
    <rPh sb="4" eb="5">
      <t>ネン</t>
    </rPh>
    <rPh sb="6" eb="7">
      <t>ガツ</t>
    </rPh>
    <rPh sb="8" eb="9">
      <t>ヒ</t>
    </rPh>
    <phoneticPr fontId="8"/>
  </si>
  <si>
    <t>変更届（主として担当する医師（岩本　八千代→松野　裕樹、令和6年4月1日）</t>
    <rPh sb="4" eb="5">
      <t>シュ</t>
    </rPh>
    <rPh sb="8" eb="10">
      <t>タントウ</t>
    </rPh>
    <rPh sb="15" eb="17">
      <t>イワモト</t>
    </rPh>
    <rPh sb="18" eb="21">
      <t>ヤチヨ</t>
    </rPh>
    <rPh sb="22" eb="24">
      <t>マツノ</t>
    </rPh>
    <rPh sb="25" eb="27">
      <t>ユウキ</t>
    </rPh>
    <rPh sb="28" eb="30">
      <t>レイワ</t>
    </rPh>
    <rPh sb="31" eb="32">
      <t>ネン</t>
    </rPh>
    <rPh sb="33" eb="34">
      <t>ガツ</t>
    </rPh>
    <rPh sb="35" eb="36">
      <t>ニチ</t>
    </rPh>
    <phoneticPr fontId="3"/>
  </si>
  <si>
    <t>松野　裕樹</t>
    <rPh sb="0" eb="2">
      <t>マツノ</t>
    </rPh>
    <rPh sb="3" eb="5">
      <t>ユウキ</t>
    </rPh>
    <phoneticPr fontId="3"/>
  </si>
  <si>
    <t>東京都渋谷区富ヶ谷二丁目１０番２号</t>
  </si>
  <si>
    <t>変更届（開設者住所：東京都渋谷区富ヶ谷２－２８－４→東京都渋谷区富ヶ谷二丁目１０番２号、診療科目：神経内科→脳神経内科）、変更日：令和６年４月１日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61" eb="64">
      <t>ヘンコウビ</t>
    </rPh>
    <rPh sb="65" eb="67">
      <t>レイワ</t>
    </rPh>
    <rPh sb="68" eb="69">
      <t>ネン</t>
    </rPh>
    <rPh sb="70" eb="71">
      <t>ガツ</t>
    </rPh>
    <rPh sb="72" eb="73">
      <t>ニチ</t>
    </rPh>
    <phoneticPr fontId="3"/>
  </si>
  <si>
    <t>山本　光</t>
    <rPh sb="0" eb="2">
      <t>ヤマモト</t>
    </rPh>
    <rPh sb="3" eb="4">
      <t>ヒカリ</t>
    </rPh>
    <phoneticPr fontId="3"/>
  </si>
  <si>
    <t>6八福障第1724号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</si>
  <si>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6八福障第1800号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</si>
  <si>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6八福障第1291号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</si>
  <si>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辞退届（令和6年5月1日辞退）</t>
    <rPh sb="0" eb="3">
      <t>ジタイトドケ</t>
    </rPh>
    <rPh sb="4" eb="6">
      <t>レイワ</t>
    </rPh>
    <rPh sb="7" eb="8">
      <t>ネン</t>
    </rPh>
    <rPh sb="9" eb="10">
      <t>ガツ</t>
    </rPh>
    <rPh sb="11" eb="12">
      <t>ニチ</t>
    </rPh>
    <rPh sb="12" eb="14">
      <t>ジタイ</t>
    </rPh>
    <phoneticPr fontId="3"/>
  </si>
  <si>
    <t>変更届（医師氏名：岡田　信也→山本　光）、変更日：令和６年７月１日</t>
    <rPh sb="0" eb="3">
      <t>ヘンコウトドケ</t>
    </rPh>
    <rPh sb="21" eb="24">
      <t>ヘンコウビ</t>
    </rPh>
    <rPh sb="25" eb="27">
      <t>レイワ</t>
    </rPh>
    <rPh sb="28" eb="29">
      <t>ネン</t>
    </rPh>
    <rPh sb="30" eb="31">
      <t>ガツ</t>
    </rPh>
    <rPh sb="32" eb="33">
      <t>ニチ</t>
    </rPh>
    <phoneticPr fontId="3"/>
  </si>
  <si>
    <t>変更届（医師氏名：山口　雅臣→桑木　賢次）、変更日：令和６年７月１日</t>
    <rPh sb="0" eb="3">
      <t>ヘンコウトドケ</t>
    </rPh>
    <rPh sb="22" eb="25">
      <t>ヘンコウビ</t>
    </rPh>
    <rPh sb="26" eb="28">
      <t>レイワ</t>
    </rPh>
    <rPh sb="29" eb="30">
      <t>ネン</t>
    </rPh>
    <rPh sb="31" eb="32">
      <t>ガツ</t>
    </rPh>
    <rPh sb="33" eb="34">
      <t>ニチ</t>
    </rPh>
    <phoneticPr fontId="3"/>
  </si>
  <si>
    <t>変更届（開設者住所：東京都渋谷区富ヶ谷２－２８－４→東京都渋谷区富ヶ谷二丁目１０番２号）、変更日：令和６年４月１日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45" eb="48">
      <t>ヘンコウビ</t>
    </rPh>
    <rPh sb="49" eb="51">
      <t>レイワ</t>
    </rPh>
    <rPh sb="52" eb="53">
      <t>ネン</t>
    </rPh>
    <rPh sb="54" eb="55">
      <t>ガツ</t>
    </rPh>
    <rPh sb="56" eb="57">
      <t>ニチ</t>
    </rPh>
    <phoneticPr fontId="3"/>
  </si>
  <si>
    <t>変更届（開設者住所：東京都渋谷区富ヶ谷２－２８－４→東京都渋谷区富ヶ谷二丁目１０番２号、診療科目：耳鼻咽喉科→耳鼻咽喉科・頭頚部外科）、変更日：令和６年４月１日</t>
    <rPh sb="0" eb="3">
      <t>ヘンコウトドケ</t>
    </rPh>
    <rPh sb="4" eb="7">
      <t>カイセツシャ</t>
    </rPh>
    <rPh sb="7" eb="9">
      <t>ジュウショ</t>
    </rPh>
    <rPh sb="35" eb="36">
      <t>ニ</t>
    </rPh>
    <rPh sb="36" eb="38">
      <t>チョウメ</t>
    </rPh>
    <rPh sb="40" eb="41">
      <t>バン</t>
    </rPh>
    <rPh sb="42" eb="43">
      <t>ゴウ</t>
    </rPh>
    <rPh sb="44" eb="48">
      <t>シンリョウカモク</t>
    </rPh>
    <rPh sb="49" eb="54">
      <t>ジビインコウカ</t>
    </rPh>
    <rPh sb="55" eb="60">
      <t>ジビインコウカ</t>
    </rPh>
    <rPh sb="61" eb="66">
      <t>トウケイブゲカ</t>
    </rPh>
    <rPh sb="68" eb="71">
      <t>ヘンコウビ</t>
    </rPh>
    <rPh sb="72" eb="74">
      <t>レイワ</t>
    </rPh>
    <rPh sb="75" eb="76">
      <t>ネン</t>
    </rPh>
    <rPh sb="77" eb="78">
      <t>ガツ</t>
    </rPh>
    <rPh sb="79" eb="80">
      <t>ニチ</t>
    </rPh>
    <phoneticPr fontId="3"/>
  </si>
  <si>
    <t>変更届（主として担当する医師（西川　洋平→小山　尊士、令和6年4月1日）</t>
    <rPh sb="15" eb="17">
      <t>ニシカワ</t>
    </rPh>
    <rPh sb="18" eb="20">
      <t>ヨウヘイ</t>
    </rPh>
    <rPh sb="21" eb="23">
      <t>コヤマ</t>
    </rPh>
    <rPh sb="24" eb="26">
      <t>ソンシ</t>
    </rPh>
    <phoneticPr fontId="3"/>
  </si>
  <si>
    <t>小山　尊士</t>
    <rPh sb="0" eb="2">
      <t>コヤマ</t>
    </rPh>
    <rPh sb="3" eb="5">
      <t>ソンシ</t>
    </rPh>
    <phoneticPr fontId="3"/>
  </si>
  <si>
    <t>休止届（令和6年11月30日休止、常勤医師が退職のため）</t>
    <rPh sb="0" eb="3">
      <t>キュウシトドケ</t>
    </rPh>
    <rPh sb="4" eb="6">
      <t>レイワ</t>
    </rPh>
    <rPh sb="7" eb="8">
      <t>ネン</t>
    </rPh>
    <rPh sb="10" eb="11">
      <t>ガツ</t>
    </rPh>
    <rPh sb="13" eb="14">
      <t>ニチ</t>
    </rPh>
    <rPh sb="14" eb="16">
      <t>キュウシ</t>
    </rPh>
    <rPh sb="17" eb="21">
      <t>ジョウキンイシ</t>
    </rPh>
    <rPh sb="22" eb="24">
      <t>タイショク</t>
    </rPh>
    <phoneticPr fontId="3"/>
  </si>
  <si>
    <t>○</t>
    <phoneticPr fontId="3"/>
  </si>
  <si>
    <t>医療法人社団新山会　希望の丘八王子病院</t>
    <rPh sb="0" eb="2">
      <t>イリョウ</t>
    </rPh>
    <rPh sb="2" eb="4">
      <t>ホウジン</t>
    </rPh>
    <rPh sb="4" eb="6">
      <t>シャダン</t>
    </rPh>
    <rPh sb="6" eb="7">
      <t>シン</t>
    </rPh>
    <rPh sb="7" eb="8">
      <t>ヤマ</t>
    </rPh>
    <rPh sb="8" eb="9">
      <t>カイ</t>
    </rPh>
    <rPh sb="10" eb="12">
      <t>キボウ</t>
    </rPh>
    <rPh sb="13" eb="14">
      <t>オカ</t>
    </rPh>
    <rPh sb="14" eb="17">
      <t>ハチオウジ</t>
    </rPh>
    <phoneticPr fontId="8"/>
  </si>
  <si>
    <t>医療法人社団新山会　</t>
    <rPh sb="0" eb="2">
      <t>イリョウ</t>
    </rPh>
    <rPh sb="2" eb="4">
      <t>ホウジン</t>
    </rPh>
    <rPh sb="4" eb="6">
      <t>シャダン</t>
    </rPh>
    <rPh sb="6" eb="7">
      <t>シン</t>
    </rPh>
    <rPh sb="7" eb="8">
      <t>ヤマ</t>
    </rPh>
    <rPh sb="8" eb="9">
      <t>カイ</t>
    </rPh>
    <phoneticPr fontId="8"/>
  </si>
  <si>
    <t>変更届（法人名称：医療法人社団孝山会→医療法人社団新山会、病院名称：滝山病院→希望の丘八王子病院）、変更日：令和6年11月1日</t>
    <rPh sb="4" eb="8">
      <t>ホウジンメイショウ</t>
    </rPh>
    <rPh sb="9" eb="15">
      <t>イリョウホウジンシャダン</t>
    </rPh>
    <rPh sb="15" eb="18">
      <t>コウザンカイ</t>
    </rPh>
    <rPh sb="19" eb="21">
      <t>イリョウ</t>
    </rPh>
    <rPh sb="21" eb="23">
      <t>ホウジン</t>
    </rPh>
    <rPh sb="23" eb="25">
      <t>シャダン</t>
    </rPh>
    <rPh sb="25" eb="26">
      <t>シン</t>
    </rPh>
    <rPh sb="26" eb="27">
      <t>ザン</t>
    </rPh>
    <rPh sb="27" eb="28">
      <t>カイ</t>
    </rPh>
    <rPh sb="29" eb="33">
      <t>ビョウインメイショウ</t>
    </rPh>
    <rPh sb="34" eb="38">
      <t>タキヤマビョウイン</t>
    </rPh>
    <rPh sb="39" eb="41">
      <t>キボウ</t>
    </rPh>
    <rPh sb="42" eb="48">
      <t>オカハチオウジビョウイン</t>
    </rPh>
    <phoneticPr fontId="3"/>
  </si>
  <si>
    <t>変更届（開設者住所：東京都渋谷区富ヶ谷２－２８－４→東京都渋谷区富ヶ谷二丁目１０番２号）、変更日：令和６年４月１日</t>
    <phoneticPr fontId="3"/>
  </si>
  <si>
    <t>東京都渋谷区富ヶ谷二丁目１０番２号</t>
    <phoneticPr fontId="3"/>
  </si>
  <si>
    <t>東京都渋谷区富ヶ谷二丁目１０番２号</t>
    <rPh sb="0" eb="3">
      <t>トウキョウト</t>
    </rPh>
    <rPh sb="3" eb="5">
      <t>シブヤ</t>
    </rPh>
    <rPh sb="5" eb="6">
      <t>ク</t>
    </rPh>
    <rPh sb="6" eb="9">
      <t>トミガヤ</t>
    </rPh>
    <rPh sb="9" eb="10">
      <t>ニ</t>
    </rPh>
    <rPh sb="10" eb="12">
      <t>チョウメ</t>
    </rPh>
    <rPh sb="14" eb="15">
      <t>バン</t>
    </rPh>
    <rPh sb="16" eb="17">
      <t>ゴウ</t>
    </rPh>
    <phoneticPr fontId="3"/>
  </si>
  <si>
    <t>変更届（主として担当する医師（朝倉　重延→工藤　龍彦、令和6年9月1日）</t>
    <rPh sb="21" eb="23">
      <t>クドウ</t>
    </rPh>
    <rPh sb="24" eb="26">
      <t>タツヒコ</t>
    </rPh>
    <phoneticPr fontId="3"/>
  </si>
  <si>
    <t>変更届（主として担当する医師（坂本　春生→唐木田　一成、令和6年4月1日）</t>
    <phoneticPr fontId="3"/>
  </si>
  <si>
    <t>変更届（主として担当する医師（山本　至宏→小林　由香、令和6年4月1日）</t>
    <phoneticPr fontId="3"/>
  </si>
  <si>
    <t>変更届（主として担当する医師（平　広之→今川　孝太郎、令和6年4月1日）</t>
    <phoneticPr fontId="3"/>
  </si>
  <si>
    <t>変更届（主として担当する医師（下田　雅美→小田　真理、令和6年4月1日）</t>
    <phoneticPr fontId="3"/>
  </si>
  <si>
    <t>変更届（開設者氏名：朝倉　孝二→工藤　龍彦）、変更日：令和6年9月1日</t>
    <rPh sb="4" eb="7">
      <t>カイセツシャ</t>
    </rPh>
    <rPh sb="10" eb="12">
      <t>アサクラ</t>
    </rPh>
    <rPh sb="13" eb="15">
      <t>コウジ</t>
    </rPh>
    <rPh sb="16" eb="18">
      <t>クドウ</t>
    </rPh>
    <rPh sb="19" eb="21">
      <t>タツヒコ</t>
    </rPh>
    <phoneticPr fontId="3"/>
  </si>
  <si>
    <t>6八福障第5115号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</si>
  <si>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6八福障第5117号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</si>
  <si>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6八福障第5242号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</si>
  <si>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6八福障第5364号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</si>
  <si>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6八福障第5365号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</si>
  <si>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6八福障第5366号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</si>
  <si>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6八福障第5367号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</si>
  <si>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6八福障第5368号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</si>
  <si>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6八福障第5369号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</si>
  <si>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6八福障第5370号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</si>
  <si>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6八福障第5371号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</si>
  <si>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6八福障第5372号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</si>
  <si>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6八福障第5373号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</si>
  <si>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6八福障第5678号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</si>
  <si>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6八福障第5680号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</si>
  <si>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6八福障第5682号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</si>
  <si>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6八福障第5681号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</si>
  <si>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6八福障第5683号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</si>
  <si>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6八福障第5679号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</si>
  <si>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6八福障第5405号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</si>
  <si>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6八福障第5404号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</si>
  <si>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6八福障第5601号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</si>
  <si>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唐木田　一成</t>
    <rPh sb="0" eb="3">
      <t>カラキダ</t>
    </rPh>
    <rPh sb="4" eb="6">
      <t>カズナリ</t>
    </rPh>
    <phoneticPr fontId="3"/>
  </si>
  <si>
    <t>小林　由香</t>
    <phoneticPr fontId="3" type="Hiragana"/>
  </si>
  <si>
    <t>今川　孝太郎</t>
    <phoneticPr fontId="3"/>
  </si>
  <si>
    <t>小田　真理</t>
    <phoneticPr fontId="3"/>
  </si>
  <si>
    <t>廃止届（令和7年3月31日廃止、閉院）</t>
    <rPh sb="4" eb="6">
      <t>レイワ</t>
    </rPh>
    <rPh sb="7" eb="8">
      <t>ネン</t>
    </rPh>
    <phoneticPr fontId="3"/>
  </si>
  <si>
    <t>　</t>
    <phoneticPr fontId="3"/>
  </si>
  <si>
    <t>変更届（主として担当する医師（金淵　一雄→福井　光峰、令和7年4月1日）</t>
    <rPh sb="15" eb="17">
      <t>カナブチ</t>
    </rPh>
    <rPh sb="18" eb="20">
      <t>カズオ</t>
    </rPh>
    <rPh sb="21" eb="23">
      <t>フクイ</t>
    </rPh>
    <rPh sb="24" eb="25">
      <t>ヒカリ</t>
    </rPh>
    <rPh sb="25" eb="26">
      <t>ミネ</t>
    </rPh>
    <phoneticPr fontId="3"/>
  </si>
  <si>
    <t>6八福障第7389号</t>
    <phoneticPr fontId="3"/>
  </si>
  <si>
    <t>6八福障第6733号</t>
    <phoneticPr fontId="3"/>
  </si>
  <si>
    <t>6八福障第6732号</t>
    <phoneticPr fontId="3"/>
  </si>
  <si>
    <t>6八福障第7348号</t>
    <phoneticPr fontId="3"/>
  </si>
  <si>
    <t>6八福障第6727号</t>
    <phoneticPr fontId="3"/>
  </si>
  <si>
    <t>6八福障第6729号</t>
    <phoneticPr fontId="3"/>
  </si>
  <si>
    <t>6八福障第6728号</t>
    <phoneticPr fontId="3"/>
  </si>
  <si>
    <t>6八福障第7345号</t>
    <phoneticPr fontId="3"/>
  </si>
  <si>
    <t>6八福障第7351号</t>
    <phoneticPr fontId="3"/>
  </si>
  <si>
    <t>6八福障第7388号</t>
    <phoneticPr fontId="3"/>
  </si>
  <si>
    <t>変更届
（理事長　河　幹夫→木実谷　哲史、～令和7年1月15日）</t>
    <rPh sb="5" eb="8">
      <t>リジチョウ</t>
    </rPh>
    <rPh sb="9" eb="10">
      <t>カワ</t>
    </rPh>
    <rPh sb="11" eb="13">
      <t>ミキオ</t>
    </rPh>
    <rPh sb="14" eb="17">
      <t>キミタニ</t>
    </rPh>
    <rPh sb="18" eb="20">
      <t>テツシ</t>
    </rPh>
    <rPh sb="22" eb="24">
      <t>レイワ</t>
    </rPh>
    <rPh sb="25" eb="26">
      <t>ネン</t>
    </rPh>
    <rPh sb="27" eb="28">
      <t>ガツ</t>
    </rPh>
    <rPh sb="30" eb="31">
      <t>ヒ</t>
    </rPh>
    <phoneticPr fontId="3"/>
  </si>
  <si>
    <t>変更届（主として担当する医師（沼澤　和夫→安田　麻里絵、令和7年7月1日）</t>
    <rPh sb="4" eb="5">
      <t>シュ</t>
    </rPh>
    <rPh sb="8" eb="10">
      <t>タントウ</t>
    </rPh>
    <rPh sb="15" eb="17">
      <t>ヌマサワ</t>
    </rPh>
    <rPh sb="18" eb="20">
      <t>カズオ</t>
    </rPh>
    <rPh sb="21" eb="23">
      <t>ヤスダ</t>
    </rPh>
    <rPh sb="24" eb="26">
      <t>マリ</t>
    </rPh>
    <rPh sb="26" eb="27">
      <t>エ</t>
    </rPh>
    <rPh sb="28" eb="30">
      <t>レイワ</t>
    </rPh>
    <rPh sb="31" eb="32">
      <t>ネン</t>
    </rPh>
    <rPh sb="33" eb="34">
      <t>ガツ</t>
    </rPh>
    <rPh sb="35" eb="36">
      <t>ニチ</t>
    </rPh>
    <phoneticPr fontId="3"/>
  </si>
  <si>
    <t>変更届（開設者住所：武蔵野市吉祥寺本町一丁目31番11号　ＫＳビル6階→立川市曙町一丁目18番2号　一清ビル本館1階、変更日：令和7年8月1日）</t>
    <rPh sb="10" eb="14">
      <t>ムサシノシ</t>
    </rPh>
    <rPh sb="14" eb="19">
      <t>キチジョウジホンチョウ</t>
    </rPh>
    <rPh sb="19" eb="22">
      <t>イッチョウメ</t>
    </rPh>
    <rPh sb="24" eb="25">
      <t>バン</t>
    </rPh>
    <rPh sb="27" eb="28">
      <t>ゴウ</t>
    </rPh>
    <rPh sb="34" eb="35">
      <t>カイ</t>
    </rPh>
    <rPh sb="39" eb="41">
      <t>アケボノチョウ</t>
    </rPh>
    <rPh sb="41" eb="44">
      <t>イッチョウメ</t>
    </rPh>
    <rPh sb="46" eb="47">
      <t>バン</t>
    </rPh>
    <rPh sb="48" eb="49">
      <t>ゴウ</t>
    </rPh>
    <rPh sb="50" eb="52">
      <t>カズキヨ</t>
    </rPh>
    <rPh sb="54" eb="56">
      <t>ホンカン</t>
    </rPh>
    <rPh sb="57" eb="58">
      <t>カイ</t>
    </rPh>
    <rPh sb="59" eb="62">
      <t>ヘンコウビ</t>
    </rPh>
    <rPh sb="63" eb="65">
      <t>レイワ</t>
    </rPh>
    <rPh sb="66" eb="67">
      <t>ネン</t>
    </rPh>
    <rPh sb="68" eb="69">
      <t>ガツ</t>
    </rPh>
    <rPh sb="70" eb="71">
      <t>ニチ</t>
    </rPh>
    <phoneticPr fontId="3"/>
  </si>
  <si>
    <t>変更届（開設者住所：武蔵野市吉祥寺本町一丁目31番11号　ＫＳビル6階→立川市曙町一丁目18番2号　一清ビル本館1階、変更日：令和7年8月1日）</t>
    <phoneticPr fontId="3"/>
  </si>
  <si>
    <t>変更届（開設者氏名：理事長　矢崎　義男→副理事長　望月　稔、令和7年7月1日）</t>
    <rPh sb="4" eb="7">
      <t>カイセツシャ</t>
    </rPh>
    <rPh sb="10" eb="13">
      <t>リジチョウ</t>
    </rPh>
    <rPh sb="14" eb="16">
      <t>ヤザキ</t>
    </rPh>
    <rPh sb="17" eb="19">
      <t>ヨシオ</t>
    </rPh>
    <rPh sb="20" eb="24">
      <t>フクリジチョウ</t>
    </rPh>
    <rPh sb="25" eb="27">
      <t>モチヅキ</t>
    </rPh>
    <rPh sb="28" eb="29">
      <t>ミノル</t>
    </rPh>
    <rPh sb="30" eb="32">
      <t>レイワ</t>
    </rPh>
    <rPh sb="33" eb="34">
      <t>ネン</t>
    </rPh>
    <rPh sb="35" eb="36">
      <t>ガツ</t>
    </rPh>
    <rPh sb="37" eb="38">
      <t>ニチ</t>
    </rPh>
    <phoneticPr fontId="3"/>
  </si>
  <si>
    <t>変更届（開設者氏名：副理事長　望月　稔→理事長　林　由起子、令和7年7月22日）</t>
    <rPh sb="4" eb="7">
      <t>カイセツシャ</t>
    </rPh>
    <rPh sb="10" eb="11">
      <t>フク</t>
    </rPh>
    <rPh sb="11" eb="14">
      <t>リジチョウ</t>
    </rPh>
    <rPh sb="15" eb="17">
      <t>モチヅキ</t>
    </rPh>
    <rPh sb="18" eb="19">
      <t>ミノル</t>
    </rPh>
    <rPh sb="20" eb="23">
      <t>リジチョウ</t>
    </rPh>
    <rPh sb="24" eb="25">
      <t>ハヤシ</t>
    </rPh>
    <rPh sb="26" eb="29">
      <t>ユキコ</t>
    </rPh>
    <rPh sb="30" eb="32">
      <t>レイワ</t>
    </rPh>
    <rPh sb="33" eb="34">
      <t>ネン</t>
    </rPh>
    <rPh sb="35" eb="36">
      <t>ガツ</t>
    </rPh>
    <rPh sb="38" eb="39">
      <t>ニチ</t>
    </rPh>
    <phoneticPr fontId="3"/>
  </si>
  <si>
    <t>西　宏之</t>
    <rPh sb="0" eb="1">
      <t>ニシ</t>
    </rPh>
    <rPh sb="2" eb="4">
      <t>ヒロユキ</t>
    </rPh>
    <phoneticPr fontId="3"/>
  </si>
  <si>
    <t>都川　貴代</t>
    <rPh sb="0" eb="2">
      <t>みやこがわ</t>
    </rPh>
    <rPh sb="3" eb="5">
      <t>たかよ</t>
    </rPh>
    <phoneticPr fontId="3" type="Hiragana"/>
  </si>
  <si>
    <t>変更届（主として担当する医師（桑木　賢次→西　宏之、令和7年4月1日）</t>
    <rPh sb="21" eb="22">
      <t>ニシ</t>
    </rPh>
    <rPh sb="23" eb="25">
      <t>ヒロユキ</t>
    </rPh>
    <phoneticPr fontId="3"/>
  </si>
  <si>
    <t>変更届（主として担当する医師（角田　隆俊→都川　貴代、令和7年4月1日）</t>
    <rPh sb="21" eb="23">
      <t>ミヤコガワ</t>
    </rPh>
    <rPh sb="24" eb="26">
      <t>タカヨ</t>
    </rPh>
    <phoneticPr fontId="3"/>
  </si>
  <si>
    <t>7八福障第4047号</t>
    <rPh sb="1" eb="2">
      <t>ヤツ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</si>
  <si>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小山　純司</t>
    <rPh sb="0" eb="2">
      <t>コヤマ</t>
    </rPh>
    <rPh sb="3" eb="4">
      <t>ジュン</t>
    </rPh>
    <rPh sb="4" eb="5">
      <t>ツカサ</t>
    </rPh>
    <phoneticPr fontId="3"/>
  </si>
  <si>
    <t>7八福障第5985号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</si>
  <si>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再開届（令和8年1月1日再開）</t>
    <rPh sb="0" eb="2">
      <t>サイカイ</t>
    </rPh>
    <rPh sb="2" eb="3">
      <t>トドケ</t>
    </rPh>
    <rPh sb="4" eb="6">
      <t>レイワ</t>
    </rPh>
    <rPh sb="7" eb="8">
      <t>ネン</t>
    </rPh>
    <rPh sb="9" eb="10">
      <t>ガツ</t>
    </rPh>
    <rPh sb="11" eb="12">
      <t>ニチ</t>
    </rPh>
    <rPh sb="12" eb="14">
      <t>サイカイ</t>
    </rPh>
    <phoneticPr fontId="3"/>
  </si>
  <si>
    <t>変更届（主として担当する医師（上西　章規→小山　純司、令和7年1月1日）</t>
    <rPh sb="15" eb="17">
      <t>ウエニシ</t>
    </rPh>
    <rPh sb="18" eb="19">
      <t>ショウ</t>
    </rPh>
    <rPh sb="19" eb="20">
      <t>キ</t>
    </rPh>
    <rPh sb="21" eb="23">
      <t>コヤマ</t>
    </rPh>
    <rPh sb="24" eb="25">
      <t>ジュン</t>
    </rPh>
    <rPh sb="25" eb="26">
      <t>ツカサ</t>
    </rPh>
    <phoneticPr fontId="3"/>
  </si>
  <si>
    <t>変更届（主として担当する医師（安田　麻里絵→小川　富雄、令和8年4月1日）</t>
    <rPh sb="15" eb="17">
      <t>ヤスダ</t>
    </rPh>
    <rPh sb="18" eb="21">
      <t>マリエ</t>
    </rPh>
    <rPh sb="22" eb="24">
      <t>オガワ</t>
    </rPh>
    <rPh sb="25" eb="27">
      <t>トミオ</t>
    </rPh>
    <phoneticPr fontId="3"/>
  </si>
  <si>
    <t>変更届（主として担当する医師（吉田　和弘→谷口　美紗、令和8年4月1日）</t>
    <rPh sb="15" eb="17">
      <t>ヨシダ</t>
    </rPh>
    <rPh sb="18" eb="20">
      <t>カズヒロ</t>
    </rPh>
    <rPh sb="21" eb="23">
      <t>タニグチ</t>
    </rPh>
    <rPh sb="24" eb="26">
      <t>ミサ</t>
    </rPh>
    <phoneticPr fontId="3"/>
  </si>
  <si>
    <t>7八福障第8160号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</si>
  <si>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変更届（開設者氏名：工藤　龍彦→工藤　耕太郎）、変更日：令和8年3月1日</t>
    <phoneticPr fontId="3"/>
  </si>
  <si>
    <t>小川　富雄</t>
    <rPh sb="0" eb="2">
      <t>オガワ</t>
    </rPh>
    <rPh sb="3" eb="5">
      <t>トミオ</t>
    </rPh>
    <phoneticPr fontId="3"/>
  </si>
  <si>
    <t>変更届（開設者氏名：理事長　栗山　廉二郎→理事長　吉村　吾志夫、令和8年4月1日）</t>
    <rPh sb="10" eb="13">
      <t>リジチョウ</t>
    </rPh>
    <rPh sb="14" eb="16">
      <t>クリヤマ</t>
    </rPh>
    <rPh sb="17" eb="20">
      <t>レンジロウ</t>
    </rPh>
    <rPh sb="21" eb="24">
      <t>リジチョウ</t>
    </rPh>
    <rPh sb="25" eb="27">
      <t>ヨシムラ</t>
    </rPh>
    <rPh sb="28" eb="29">
      <t>ゴ</t>
    </rPh>
    <rPh sb="29" eb="30">
      <t>シ</t>
    </rPh>
    <rPh sb="30" eb="31">
      <t>オット</t>
    </rPh>
    <phoneticPr fontId="3"/>
  </si>
  <si>
    <t>変　更　⑦</t>
    <phoneticPr fontId="3"/>
  </si>
  <si>
    <t>変更届（開設者氏名：理事長　栗山　廉二郎→理事長　吉村　吾志夫、令和8年4月1日）</t>
    <phoneticPr fontId="3"/>
  </si>
  <si>
    <t>変更届（理事長：木実谷　哲史→藤井　康弘、令和7年6月20日）</t>
    <rPh sb="4" eb="6">
      <t>リジ</t>
    </rPh>
    <rPh sb="6" eb="7">
      <t>チョウ</t>
    </rPh>
    <rPh sb="15" eb="17">
      <t>フジイ</t>
    </rPh>
    <rPh sb="18" eb="20">
      <t>ヤスヒロ</t>
    </rPh>
    <phoneticPr fontId="3"/>
  </si>
  <si>
    <t>変更届（主として担当する医師（工藤　龍彦→池田　佐代、令和8年3月1日）</t>
    <rPh sb="21" eb="23">
      <t>イケダ</t>
    </rPh>
    <rPh sb="24" eb="25">
      <t>サ</t>
    </rPh>
    <rPh sb="25" eb="26">
      <t>ヨ</t>
    </rPh>
    <phoneticPr fontId="3"/>
  </si>
  <si>
    <t>池田　佐代</t>
    <phoneticPr fontId="3"/>
  </si>
  <si>
    <t>医療法人瑞翔会</t>
    <rPh sb="0" eb="2">
      <t>イリョウ</t>
    </rPh>
    <rPh sb="2" eb="4">
      <t>ホウジン</t>
    </rPh>
    <rPh sb="4" eb="5">
      <t>ズイ</t>
    </rPh>
    <rPh sb="5" eb="6">
      <t>ショウ</t>
    </rPh>
    <rPh sb="6" eb="7">
      <t>カイ</t>
    </rPh>
    <phoneticPr fontId="8"/>
  </si>
  <si>
    <t>039-2401</t>
    <phoneticPr fontId="3"/>
  </si>
  <si>
    <t>青森県上北郡東北町大字上野字南谷地258番地1</t>
    <rPh sb="0" eb="3">
      <t>アオモリケン</t>
    </rPh>
    <rPh sb="3" eb="6">
      <t>カミキタグン</t>
    </rPh>
    <rPh sb="6" eb="8">
      <t>トウホク</t>
    </rPh>
    <rPh sb="8" eb="9">
      <t>チョウ</t>
    </rPh>
    <rPh sb="9" eb="11">
      <t>オオアザ</t>
    </rPh>
    <rPh sb="11" eb="13">
      <t>ウエノ</t>
    </rPh>
    <rPh sb="13" eb="14">
      <t>アザ</t>
    </rPh>
    <rPh sb="14" eb="15">
      <t>ミナミ</t>
    </rPh>
    <rPh sb="16" eb="17">
      <t>チ</t>
    </rPh>
    <rPh sb="20" eb="22">
      <t>バンチ</t>
    </rPh>
    <phoneticPr fontId="3"/>
  </si>
  <si>
    <t>変更届（開設者：工藤　龍彦→医療法人瑞翔会　理事長　岩渕勝雄、開設者住所：八王子市散田町2-14-18→青森県上北郡東北町大字上野字南谷地258番地1、医療機関コード：2930097→2930956、変更日：令和６年９月１日）</t>
    <rPh sb="4" eb="6">
      <t>カイセツ</t>
    </rPh>
    <rPh sb="6" eb="7">
      <t>シャ</t>
    </rPh>
    <rPh sb="8" eb="10">
      <t>クドウ</t>
    </rPh>
    <rPh sb="11" eb="13">
      <t>タツヒコ</t>
    </rPh>
    <rPh sb="14" eb="18">
      <t>イリョウホウジン</t>
    </rPh>
    <rPh sb="18" eb="19">
      <t>ズイ</t>
    </rPh>
    <rPh sb="19" eb="20">
      <t>ショウ</t>
    </rPh>
    <rPh sb="20" eb="21">
      <t>カイ</t>
    </rPh>
    <rPh sb="22" eb="25">
      <t>リジチョウ</t>
    </rPh>
    <rPh sb="26" eb="28">
      <t>イワブチ</t>
    </rPh>
    <rPh sb="28" eb="30">
      <t>カツオ</t>
    </rPh>
    <rPh sb="31" eb="34">
      <t>カイセツシャ</t>
    </rPh>
    <rPh sb="34" eb="36">
      <t>ジュウショ</t>
    </rPh>
    <rPh sb="37" eb="41">
      <t>ハチオウジシ</t>
    </rPh>
    <rPh sb="41" eb="44">
      <t>サンダマチ</t>
    </rPh>
    <rPh sb="76" eb="78">
      <t>イリョウ</t>
    </rPh>
    <rPh sb="78" eb="80">
      <t>キカン</t>
    </rPh>
    <phoneticPr fontId="3"/>
  </si>
  <si>
    <t>新規</t>
    <rPh sb="0" eb="2">
      <t>シンキ</t>
    </rPh>
    <phoneticPr fontId="3"/>
  </si>
  <si>
    <t>1-30</t>
    <phoneticPr fontId="3"/>
  </si>
  <si>
    <t>192-0904</t>
    <phoneticPr fontId="3"/>
  </si>
  <si>
    <t>八王子市子安町３－２４－１５</t>
    <rPh sb="4" eb="7">
      <t>コヤスマチ</t>
    </rPh>
    <phoneticPr fontId="3"/>
  </si>
  <si>
    <t>042-625-0666</t>
    <phoneticPr fontId="3"/>
  </si>
  <si>
    <t>医療法人社団清智会</t>
    <rPh sb="0" eb="9">
      <t>イリョウホウジンシャダンセイチカイ</t>
    </rPh>
    <phoneticPr fontId="3"/>
  </si>
  <si>
    <t>八王子市子安町３－２４－１５</t>
    <rPh sb="0" eb="4">
      <t>ハチオウジシ</t>
    </rPh>
    <rPh sb="4" eb="7">
      <t>コヤスマチ</t>
    </rPh>
    <phoneticPr fontId="3"/>
  </si>
  <si>
    <t>佐藤　嘉伯</t>
    <rPh sb="0" eb="2">
      <t>サトウ</t>
    </rPh>
    <rPh sb="3" eb="4">
      <t>ヨシ</t>
    </rPh>
    <rPh sb="4" eb="5">
      <t>ハク</t>
    </rPh>
    <phoneticPr fontId="3"/>
  </si>
  <si>
    <t>8八福障第3876号</t>
    <rPh sb="1" eb="2">
      <t>ハチ</t>
    </rPh>
    <rPh sb="2" eb="3">
      <t>フク</t>
    </rPh>
    <rPh sb="3" eb="4">
      <t>ショウ</t>
    </rPh>
    <rPh sb="4" eb="5">
      <t>ダイ</t>
    </rPh>
    <rPh sb="9" eb="10">
      <t>ゴウ</t>
    </rPh>
    <phoneticPr fontId="3"/>
  </si>
  <si>
    <t>指定自立支援医療機関（育成・更生医療）指定一覧【病院・診療所】（令和8年10月1日現在）</t>
    <rPh sb="0" eb="2">
      <t>シテイ</t>
    </rPh>
    <rPh sb="2" eb="4">
      <t>ジリツ</t>
    </rPh>
    <rPh sb="4" eb="6">
      <t>シエン</t>
    </rPh>
    <rPh sb="6" eb="8">
      <t>イリョウ</t>
    </rPh>
    <rPh sb="8" eb="10">
      <t>キカン</t>
    </rPh>
    <rPh sb="11" eb="13">
      <t>イクセイ</t>
    </rPh>
    <rPh sb="14" eb="16">
      <t>コウセイ</t>
    </rPh>
    <rPh sb="16" eb="18">
      <t>イリョウ</t>
    </rPh>
    <rPh sb="19" eb="21">
      <t>シテイ</t>
    </rPh>
    <rPh sb="21" eb="22">
      <t>イチ</t>
    </rPh>
    <rPh sb="22" eb="23">
      <t>ラン</t>
    </rPh>
    <rPh sb="24" eb="26">
      <t>ビョウイン</t>
    </rPh>
    <rPh sb="27" eb="30">
      <t>シンリョウジョ</t>
    </rPh>
    <phoneticPr fontId="3"/>
  </si>
  <si>
    <t>医療法人社団清智会　清智会記念病院</t>
    <rPh sb="0" eb="9">
      <t>イリョウホウジンシャダンセイチカイ</t>
    </rPh>
    <rPh sb="10" eb="17">
      <t>セイチカイキネンビョウイン</t>
    </rPh>
    <phoneticPr fontId="3"/>
  </si>
  <si>
    <t>変更（主たる医師の変更）</t>
    <rPh sb="0" eb="2">
      <t>ヘンコウ</t>
    </rPh>
    <rPh sb="3" eb="4">
      <t>シュ</t>
    </rPh>
    <rPh sb="6" eb="8">
      <t>イシ</t>
    </rPh>
    <rPh sb="9" eb="11">
      <t>ヘンコウ</t>
    </rPh>
    <phoneticPr fontId="3"/>
  </si>
  <si>
    <t>白井　育子</t>
    <rPh sb="0" eb="2">
      <t>シライ</t>
    </rPh>
    <rPh sb="3" eb="5">
      <t>イクコ</t>
    </rPh>
    <phoneticPr fontId="3"/>
  </si>
  <si>
    <t>変更届（主として担当する医師（小沢　浩→白井　育子、令和8年4月1日）</t>
    <rPh sb="15" eb="17">
      <t>オザワ</t>
    </rPh>
    <rPh sb="18" eb="19">
      <t>ヒロシ</t>
    </rPh>
    <rPh sb="20" eb="22">
      <t>シライ</t>
    </rPh>
    <rPh sb="23" eb="25">
      <t>イクコ</t>
    </rPh>
    <phoneticPr fontId="3"/>
  </si>
  <si>
    <t>変更届（主として担当する医師（川田　征一住山　雅紀、令和7年4月1日）</t>
    <rPh sb="20" eb="22">
      <t>スミヤマ</t>
    </rPh>
    <rPh sb="23" eb="25">
      <t>マサキ</t>
    </rPh>
    <phoneticPr fontId="3"/>
  </si>
  <si>
    <t>住山　雅紀</t>
    <rPh sb="0" eb="2">
      <t>スミヤマ</t>
    </rPh>
    <rPh sb="3" eb="5">
      <t>マサキ</t>
    </rPh>
    <phoneticPr fontId="3"/>
  </si>
  <si>
    <t>変　更　⑧</t>
    <phoneticPr fontId="3"/>
  </si>
  <si>
    <t>変更届（主として担当する医師（谷口　美紗→要　伸也、令和8年10月1日）</t>
    <rPh sb="15" eb="17">
      <t>タニグチ</t>
    </rPh>
    <rPh sb="18" eb="19">
      <t>ミ</t>
    </rPh>
    <rPh sb="19" eb="20">
      <t>サ</t>
    </rPh>
    <rPh sb="21" eb="22">
      <t>カナメ</t>
    </rPh>
    <rPh sb="23" eb="25">
      <t>シンヤ</t>
    </rPh>
    <phoneticPr fontId="3"/>
  </si>
  <si>
    <t>要　伸也</t>
    <rPh sb="0" eb="1">
      <t>カナメ</t>
    </rPh>
    <rPh sb="2" eb="4">
      <t>シンヤ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</si>
</sst>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000000"/>
    <numFmt numFmtId="180" formatCode="[$-411]ggge&quot;年&quot;m&quot;月&quot;d&quot;日&quot;;@"/>
  </numFmts>
  <fonts count="10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明朝"/>
      <family val="1"/>
      <charset val="128"/>
    </font>
    <font>
      <sz val="13"/>
      <name val="ＭＳ 明朝"/>
      <family val="1"/>
      <charset val="128"/>
    </font>
    <font>
      <sz val="6"/>
      <name val="ＭＳ ゴシック"/>
      <family val="3"/>
      <charset val="128"/>
    </font>
    <font>
      <sz val="12"/>
      <name val="ＭＳ 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ＭＳ 明朝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1" xfId="1" applyBorder="1" applyAlignment="1">
      <alignment vertical="center" wrapText="1"/>
    </xf>
    <xf numFmtId="49" fontId="2" fillId="0" borderId="1" xfId="1" applyNumberFormat="1" applyBorder="1">
      <alignment vertical="center"/>
    </xf>
    <xf numFmtId="0" fontId="2" fillId="0" borderId="1" xfId="1" applyBorder="1">
      <alignment vertical="center"/>
    </xf>
    <xf numFmtId="176" fontId="2" fillId="0" borderId="1" xfId="1" applyNumberFormat="1" applyBorder="1">
      <alignment vertical="center"/>
    </xf>
    <xf numFmtId="49" fontId="2" fillId="0" borderId="1" xfId="1" applyNumberFormat="1" applyBorder="1" applyAlignment="1">
      <alignment vertical="center" wrapText="1"/>
    </xf>
    <xf numFmtId="0" fontId="2" fillId="0" borderId="1" xfId="3" applyBorder="1">
      <alignment vertical="center"/>
    </xf>
    <xf numFmtId="0" fontId="4" fillId="0" borderId="0" xfId="1" applyFont="1">
      <alignment vertical="center"/>
    </xf>
    <xf numFmtId="176" fontId="2" fillId="0" borderId="3" xfId="1" applyNumberFormat="1" applyBorder="1" applyAlignment="1">
      <alignment horizontal="center" vertical="center"/>
    </xf>
    <xf numFmtId="0" fontId="2" fillId="0" borderId="3" xfId="1" applyBorder="1" applyAlignment="1">
      <alignment horizontal="center" vertical="center" wrapText="1"/>
    </xf>
    <xf numFmtId="0" fontId="2" fillId="0" borderId="4" xfId="1" applyBorder="1">
      <alignment vertical="center"/>
    </xf>
    <xf numFmtId="0" fontId="2" fillId="0" borderId="2" xfId="1" applyBorder="1">
      <alignment vertical="center"/>
    </xf>
    <xf numFmtId="0" fontId="2" fillId="0" borderId="4" xfId="1" applyBorder="1" applyAlignment="1">
      <alignment vertical="center" wrapText="1"/>
    </xf>
    <xf numFmtId="0" fontId="2" fillId="0" borderId="1" xfId="1" applyBorder="1" applyAlignment="1">
      <alignment horizontal="center" vertical="center"/>
    </xf>
    <xf numFmtId="49" fontId="2" fillId="0" borderId="1" xfId="1" applyNumberFormat="1" applyBorder="1" applyAlignment="1">
      <alignment horizontal="center" vertical="center" wrapText="1"/>
    </xf>
    <xf numFmtId="49" fontId="2" fillId="0" borderId="1" xfId="3" applyNumberFormat="1" applyBorder="1" applyAlignment="1">
      <alignment horizontal="center" vertical="center"/>
    </xf>
    <xf numFmtId="49" fontId="2" fillId="0" borderId="2" xfId="1" applyNumberFormat="1" applyBorder="1">
      <alignment vertical="center"/>
    </xf>
    <xf numFmtId="0" fontId="2" fillId="0" borderId="1" xfId="2" applyFont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49" fontId="2" fillId="0" borderId="5" xfId="1" applyNumberFormat="1" applyBorder="1" applyAlignment="1">
      <alignment vertical="center" wrapText="1"/>
    </xf>
    <xf numFmtId="49" fontId="4" fillId="0" borderId="0" xfId="1" applyNumberFormat="1" applyFont="1">
      <alignment vertical="center"/>
    </xf>
    <xf numFmtId="0" fontId="2" fillId="0" borderId="0" xfId="1">
      <alignment vertical="center"/>
    </xf>
    <xf numFmtId="0" fontId="2" fillId="0" borderId="0" xfId="1" applyAlignment="1">
      <alignment vertical="center" wrapText="1"/>
    </xf>
    <xf numFmtId="176" fontId="2" fillId="0" borderId="1" xfId="1" applyNumberFormat="1" applyBorder="1" applyAlignment="1">
      <alignment vertical="center" wrapText="1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58" fontId="2" fillId="0" borderId="1" xfId="1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9" fillId="0" borderId="0" xfId="0" applyFont="1">
      <alignment vertical="center"/>
    </xf>
    <xf numFmtId="0" fontId="9" fillId="0" borderId="1" xfId="0" applyFont="1" applyBorder="1">
      <alignment vertical="center"/>
    </xf>
    <xf numFmtId="0" fontId="2" fillId="0" borderId="7" xfId="1" applyBorder="1">
      <alignment vertical="center"/>
    </xf>
    <xf numFmtId="58" fontId="9" fillId="0" borderId="1" xfId="0" applyNumberFormat="1" applyFont="1" applyBorder="1" applyAlignment="1">
      <alignment horizontal="center" vertical="center"/>
    </xf>
    <xf numFmtId="0" fontId="2" fillId="4" borderId="1" xfId="1" applyFill="1" applyBorder="1" applyAlignment="1">
      <alignment vertical="center" wrapText="1"/>
    </xf>
    <xf numFmtId="176" fontId="2" fillId="0" borderId="7" xfId="1" applyNumberFormat="1" applyBorder="1">
      <alignment vertical="center"/>
    </xf>
    <xf numFmtId="0" fontId="2" fillId="0" borderId="7" xfId="1" applyBorder="1" applyAlignment="1">
      <alignment vertical="center" wrapText="1"/>
    </xf>
    <xf numFmtId="49" fontId="2" fillId="0" borderId="7" xfId="1" applyNumberFormat="1" applyBorder="1" applyAlignment="1">
      <alignment vertical="center" wrapText="1"/>
    </xf>
    <xf numFmtId="49" fontId="2" fillId="0" borderId="7" xfId="1" applyNumberFormat="1" applyBorder="1" applyAlignment="1">
      <alignment horizontal="center" vertical="center"/>
    </xf>
    <xf numFmtId="0" fontId="2" fillId="0" borderId="8" xfId="1" applyBorder="1">
      <alignment vertical="center"/>
    </xf>
    <xf numFmtId="49" fontId="2" fillId="0" borderId="7" xfId="1" applyNumberFormat="1" applyBorder="1">
      <alignment vertical="center"/>
    </xf>
    <xf numFmtId="0" fontId="2" fillId="0" borderId="1" xfId="3" applyBorder="1" applyAlignment="1">
      <alignment vertical="center" wrapText="1"/>
    </xf>
    <xf numFmtId="58" fontId="2" fillId="0" borderId="1" xfId="1" applyNumberForma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" fillId="0" borderId="6" xfId="1" applyBorder="1" applyAlignment="1">
      <alignment horizontal="center" vertical="center"/>
    </xf>
    <xf numFmtId="0" fontId="2" fillId="0" borderId="1" xfId="3" applyBorder="1" applyAlignment="1">
      <alignment horizontal="center" vertical="center"/>
    </xf>
    <xf numFmtId="49" fontId="2" fillId="0" borderId="6" xfId="1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2" fillId="0" borderId="7" xfId="1" applyBorder="1" applyAlignment="1">
      <alignment horizontal="center" vertical="center"/>
    </xf>
    <xf numFmtId="0" fontId="2" fillId="4" borderId="7" xfId="1" applyFill="1" applyBorder="1" applyAlignment="1">
      <alignment vertical="center" wrapText="1"/>
    </xf>
    <xf numFmtId="0" fontId="9" fillId="4" borderId="1" xfId="0" applyFont="1" applyFill="1" applyBorder="1">
      <alignment vertical="center"/>
    </xf>
    <xf numFmtId="58" fontId="2" fillId="0" borderId="1" xfId="3" applyNumberFormat="1" applyBorder="1" applyAlignment="1">
      <alignment horizontal="center" vertical="center"/>
    </xf>
    <xf numFmtId="58" fontId="2" fillId="0" borderId="7" xfId="1" applyNumberFormat="1" applyBorder="1" applyAlignment="1">
      <alignment horizontal="center" vertical="center"/>
    </xf>
    <xf numFmtId="49" fontId="9" fillId="0" borderId="1" xfId="0" applyNumberFormat="1" applyFont="1" applyBorder="1">
      <alignment vertical="center"/>
    </xf>
    <xf numFmtId="0" fontId="2" fillId="3" borderId="1" xfId="1" applyFill="1" applyBorder="1" applyAlignment="1">
      <alignment vertical="center" wrapText="1"/>
    </xf>
    <xf numFmtId="176" fontId="7" fillId="6" borderId="3" xfId="0" applyNumberFormat="1" applyFont="1" applyFill="1" applyBorder="1" applyAlignment="1">
      <alignment horizontal="center" vertical="center" wrapText="1"/>
    </xf>
    <xf numFmtId="176" fontId="2" fillId="0" borderId="10" xfId="1" applyNumberFormat="1" applyBorder="1">
      <alignment vertical="center"/>
    </xf>
    <xf numFmtId="0" fontId="2" fillId="0" borderId="10" xfId="1" applyBorder="1">
      <alignment vertical="center"/>
    </xf>
    <xf numFmtId="0" fontId="2" fillId="0" borderId="5" xfId="1" applyBorder="1">
      <alignment vertical="center"/>
    </xf>
    <xf numFmtId="176" fontId="2" fillId="0" borderId="5" xfId="1" applyNumberFormat="1" applyBorder="1">
      <alignment vertical="center"/>
    </xf>
    <xf numFmtId="180" fontId="9" fillId="0" borderId="1" xfId="0" applyNumberFormat="1" applyFont="1" applyBorder="1" applyAlignment="1">
      <alignment horizontal="center" vertical="center"/>
    </xf>
    <xf numFmtId="180" fontId="0" fillId="0" borderId="0" xfId="0" applyNumberFormat="1">
      <alignment vertical="center"/>
    </xf>
    <xf numFmtId="180" fontId="2" fillId="0" borderId="1" xfId="1" applyNumberFormat="1" applyBorder="1" applyAlignment="1">
      <alignment horizontal="center" vertical="center"/>
    </xf>
    <xf numFmtId="180" fontId="2" fillId="0" borderId="7" xfId="1" applyNumberFormat="1" applyBorder="1" applyAlignment="1">
      <alignment horizontal="center" vertical="center"/>
    </xf>
    <xf numFmtId="180" fontId="2" fillId="0" borderId="1" xfId="3" applyNumberFormat="1" applyBorder="1" applyAlignment="1">
      <alignment horizontal="center" vertical="center"/>
    </xf>
    <xf numFmtId="180" fontId="2" fillId="0" borderId="1" xfId="1" applyNumberFormat="1" applyBorder="1" applyAlignment="1">
      <alignment horizontal="center" vertical="center" wrapText="1"/>
    </xf>
    <xf numFmtId="49" fontId="2" fillId="0" borderId="1" xfId="1" applyNumberFormat="1" applyBorder="1" applyAlignment="1">
      <alignment horizontal="center" vertical="center"/>
    </xf>
    <xf numFmtId="180" fontId="2" fillId="0" borderId="0" xfId="1" applyNumberFormat="1">
      <alignment vertical="center"/>
    </xf>
    <xf numFmtId="49" fontId="2" fillId="0" borderId="3" xfId="1" applyNumberFormat="1" applyBorder="1" applyAlignment="1">
      <alignment horizontal="center" vertical="center" wrapText="1"/>
    </xf>
    <xf numFmtId="0" fontId="2" fillId="4" borderId="3" xfId="1" applyFill="1" applyBorder="1" applyAlignment="1">
      <alignment horizontal="center" vertical="center" wrapText="1"/>
    </xf>
    <xf numFmtId="180" fontId="2" fillId="0" borderId="3" xfId="1" applyNumberFormat="1" applyBorder="1" applyAlignment="1">
      <alignment horizontal="center" vertical="center"/>
    </xf>
    <xf numFmtId="0" fontId="2" fillId="2" borderId="1" xfId="1" applyFill="1" applyBorder="1">
      <alignment vertical="center"/>
    </xf>
    <xf numFmtId="0" fontId="2" fillId="0" borderId="2" xfId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2" xfId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>
      <alignment vertical="center"/>
    </xf>
    <xf numFmtId="49" fontId="2" fillId="3" borderId="1" xfId="1" applyNumberFormat="1" applyFill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2" fillId="0" borderId="6" xfId="1" applyBorder="1" applyAlignment="1">
      <alignment horizontal="center" vertical="center"/>
    </xf>
    <xf numFmtId="0" fontId="2" fillId="0" borderId="9" xfId="1" applyBorder="1" applyAlignment="1">
      <alignment horizontal="center" vertical="center"/>
    </xf>
    <xf numFmtId="0" fontId="2" fillId="4" borderId="1" xfId="1" applyFill="1" applyBorder="1" applyAlignment="1">
      <alignment horizontal="center" vertical="center" wrapText="1"/>
    </xf>
    <xf numFmtId="0" fontId="2" fillId="0" borderId="6" xfId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49" fontId="2" fillId="5" borderId="6" xfId="1" applyNumberFormat="1" applyFill="1" applyBorder="1" applyAlignment="1">
      <alignment horizontal="center" vertical="center"/>
    </xf>
    <xf numFmtId="49" fontId="2" fillId="5" borderId="9" xfId="1" applyNumberFormat="1" applyFill="1" applyBorder="1" applyAlignment="1">
      <alignment horizontal="center" vertical="center"/>
    </xf>
    <xf numFmtId="49" fontId="2" fillId="5" borderId="6" xfId="1" applyNumberFormat="1" applyFill="1" applyBorder="1" applyAlignment="1">
      <alignment horizontal="center" vertical="center" wrapText="1"/>
    </xf>
    <xf numFmtId="49" fontId="2" fillId="5" borderId="9" xfId="1" applyNumberFormat="1" applyFill="1" applyBorder="1" applyAlignment="1">
      <alignment horizontal="center" vertical="center" wrapText="1"/>
    </xf>
    <xf numFmtId="49" fontId="2" fillId="0" borderId="6" xfId="1" applyNumberFormat="1" applyBorder="1" applyAlignment="1">
      <alignment horizontal="center" vertical="center"/>
    </xf>
    <xf numFmtId="49" fontId="2" fillId="0" borderId="9" xfId="1" applyNumberFormat="1" applyBorder="1" applyAlignment="1">
      <alignment horizontal="center" vertical="center"/>
    </xf>
    <xf numFmtId="49" fontId="2" fillId="0" borderId="6" xfId="1" applyNumberFormat="1" applyBorder="1" applyAlignment="1">
      <alignment horizontal="center" vertical="center" wrapText="1"/>
    </xf>
    <xf numFmtId="49" fontId="2" fillId="0" borderId="9" xfId="1" applyNumberFormat="1" applyBorder="1" applyAlignment="1">
      <alignment horizontal="center" vertical="center" wrapText="1"/>
    </xf>
    <xf numFmtId="176" fontId="2" fillId="0" borderId="1" xfId="1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_H24.10指定分★(入力用育成更生医療指定一覧H24.7.1締め切り)総合" xfId="2" xr:uid="{00000000-0005-0000-0000-000002000000}"/>
    <cellStyle name="標準_医療機関（育成更生）指定一覧" xfId="3" xr:uid="{00000000-0005-0000-0000-000003000000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4"/>
  <sheetViews>
    <sheetView showGridLines="0" tabSelected="1" view="pageBreakPreview" zoomScale="70" zoomScaleNormal="70" zoomScaleSheetLayoutView="70" workbookViewId="0">
      <pane ySplit="3" topLeftCell="A4" activePane="bottomLeft" state="frozen"/>
      <selection pane="bottomLeft" activeCell="B4" sqref="B4"/>
    </sheetView>
  </sheetViews>
  <sheetFormatPr defaultRowHeight="13.5" outlineLevelCol="1" x14ac:dyDescent="0.15"/>
  <cols>
    <col min="1" max="1" width="8.5" customWidth="1"/>
    <col min="2" max="2" width="18.25" customWidth="1" outlineLevel="1"/>
    <col min="3" max="3" width="9" style="73" customWidth="1" outlineLevel="1"/>
    <col min="5" max="9" width="11.625" hidden="1" customWidth="1" outlineLevel="1"/>
    <col min="10" max="10" width="37.75" style="27" customWidth="1" collapsed="1"/>
    <col min="11" max="11" width="6.25" style="27" customWidth="1"/>
    <col min="12" max="12" width="7.625" style="27" customWidth="1"/>
    <col min="13" max="13" width="35.375" style="27" customWidth="1"/>
    <col min="14" max="14" width="14.375" style="27" customWidth="1"/>
    <col min="15" max="15" width="26.875" style="27" customWidth="1" outlineLevel="1"/>
    <col min="16" max="16" width="9" customWidth="1" outlineLevel="1"/>
    <col min="17" max="17" width="35.375" customWidth="1" outlineLevel="1"/>
    <col min="18" max="18" width="13.625" customWidth="1"/>
    <col min="19" max="19" width="13.875" customWidth="1" outlineLevel="1"/>
    <col min="20" max="20" width="18.375" bestFit="1" customWidth="1" outlineLevel="1"/>
    <col min="21" max="21" width="18" style="61" customWidth="1"/>
    <col min="22" max="22" width="18" customWidth="1" outlineLevel="1"/>
    <col min="23" max="23" width="20.5" customWidth="1" outlineLevel="1"/>
    <col min="24" max="24" width="18" customWidth="1" outlineLevel="1"/>
    <col min="25" max="25" width="20.5" customWidth="1" outlineLevel="1"/>
    <col min="26" max="26" width="20.5" style="73" customWidth="1"/>
    <col min="27" max="30" width="9" customWidth="1" outlineLevel="1"/>
    <col min="31" max="38" width="27.125" customWidth="1" outlineLevel="1"/>
  </cols>
  <sheetData>
    <row r="1" spans="1:38" ht="52.5" customHeight="1" x14ac:dyDescent="0.15">
      <c r="A1" s="20" t="s">
        <v>503</v>
      </c>
      <c r="B1" s="7"/>
      <c r="C1" s="25"/>
      <c r="D1" s="21"/>
      <c r="E1" s="21"/>
      <c r="F1" s="21"/>
      <c r="G1" s="21"/>
      <c r="H1" s="21"/>
      <c r="I1" s="21"/>
      <c r="J1" s="22"/>
      <c r="K1" s="22"/>
      <c r="L1" s="22"/>
      <c r="M1" s="22"/>
      <c r="N1" s="22"/>
      <c r="O1" s="22"/>
      <c r="P1" s="21"/>
      <c r="Q1" s="21"/>
      <c r="R1" s="21"/>
      <c r="S1" s="21"/>
      <c r="T1" s="21"/>
      <c r="U1" s="67"/>
      <c r="V1" s="21"/>
      <c r="W1" s="21"/>
      <c r="X1" s="21"/>
      <c r="Y1" s="21"/>
      <c r="Z1" s="25"/>
      <c r="AA1" s="21"/>
      <c r="AB1" s="21"/>
      <c r="AC1" s="21"/>
      <c r="AD1" s="21"/>
      <c r="AE1" s="1" t="s">
        <v>394</v>
      </c>
      <c r="AF1" s="1" t="s">
        <v>377</v>
      </c>
      <c r="AG1" s="22" t="s">
        <v>395</v>
      </c>
      <c r="AH1" s="21"/>
      <c r="AI1" s="21"/>
      <c r="AJ1" s="21"/>
    </row>
    <row r="2" spans="1:38" ht="21.75" customHeight="1" x14ac:dyDescent="0.15">
      <c r="A2" s="93" t="s">
        <v>363</v>
      </c>
      <c r="B2" s="87" t="s">
        <v>359</v>
      </c>
      <c r="C2" s="87" t="s">
        <v>0</v>
      </c>
      <c r="D2" s="97" t="s">
        <v>1</v>
      </c>
      <c r="E2" s="97"/>
      <c r="F2" s="97"/>
      <c r="G2" s="97"/>
      <c r="H2" s="97"/>
      <c r="I2" s="97"/>
      <c r="J2" s="98"/>
      <c r="K2" s="98"/>
      <c r="L2" s="98"/>
      <c r="M2" s="98"/>
      <c r="N2" s="98"/>
      <c r="O2" s="86" t="s">
        <v>2</v>
      </c>
      <c r="P2" s="86"/>
      <c r="Q2" s="86"/>
      <c r="R2" s="95" t="s">
        <v>3</v>
      </c>
      <c r="S2" s="84" t="s">
        <v>4</v>
      </c>
      <c r="T2" s="84" t="s">
        <v>5</v>
      </c>
      <c r="U2" s="62" t="s">
        <v>6</v>
      </c>
      <c r="V2" s="84" t="s">
        <v>6</v>
      </c>
      <c r="W2" s="84" t="s">
        <v>347</v>
      </c>
      <c r="X2" s="84" t="s">
        <v>7</v>
      </c>
      <c r="Y2" s="84" t="s">
        <v>347</v>
      </c>
      <c r="Z2" s="93" t="s">
        <v>8</v>
      </c>
      <c r="AA2" s="84" t="s">
        <v>9</v>
      </c>
      <c r="AB2" s="84" t="s">
        <v>10</v>
      </c>
      <c r="AC2" s="89" t="s">
        <v>11</v>
      </c>
      <c r="AD2" s="91" t="s">
        <v>12</v>
      </c>
      <c r="AE2" s="87" t="s">
        <v>13</v>
      </c>
      <c r="AF2" s="87" t="s">
        <v>14</v>
      </c>
      <c r="AG2" s="87" t="s">
        <v>15</v>
      </c>
      <c r="AH2" s="87" t="s">
        <v>16</v>
      </c>
      <c r="AI2" s="87" t="s">
        <v>17</v>
      </c>
      <c r="AJ2" s="87" t="s">
        <v>18</v>
      </c>
      <c r="AK2" s="82" t="s">
        <v>485</v>
      </c>
      <c r="AL2" s="82" t="s">
        <v>510</v>
      </c>
    </row>
    <row r="3" spans="1:38" ht="45.75" customHeight="1" thickBot="1" x14ac:dyDescent="0.2">
      <c r="A3" s="94"/>
      <c r="B3" s="88"/>
      <c r="C3" s="88"/>
      <c r="D3" s="8" t="s">
        <v>19</v>
      </c>
      <c r="E3" s="55" t="s">
        <v>352</v>
      </c>
      <c r="F3" s="55" t="s">
        <v>353</v>
      </c>
      <c r="G3" s="55" t="s">
        <v>354</v>
      </c>
      <c r="H3" s="55" t="s">
        <v>355</v>
      </c>
      <c r="I3" s="55" t="s">
        <v>356</v>
      </c>
      <c r="J3" s="9" t="s">
        <v>20</v>
      </c>
      <c r="K3" s="9" t="s">
        <v>21</v>
      </c>
      <c r="L3" s="68" t="s">
        <v>22</v>
      </c>
      <c r="M3" s="9" t="s">
        <v>23</v>
      </c>
      <c r="N3" s="68" t="s">
        <v>24</v>
      </c>
      <c r="O3" s="9" t="s">
        <v>25</v>
      </c>
      <c r="P3" s="69" t="s">
        <v>26</v>
      </c>
      <c r="Q3" s="69" t="s">
        <v>23</v>
      </c>
      <c r="R3" s="96"/>
      <c r="S3" s="85"/>
      <c r="T3" s="85"/>
      <c r="U3" s="70" t="s">
        <v>27</v>
      </c>
      <c r="V3" s="85"/>
      <c r="W3" s="85"/>
      <c r="X3" s="85"/>
      <c r="Y3" s="85"/>
      <c r="Z3" s="94"/>
      <c r="AA3" s="85"/>
      <c r="AB3" s="85"/>
      <c r="AC3" s="90"/>
      <c r="AD3" s="92"/>
      <c r="AE3" s="88"/>
      <c r="AF3" s="88"/>
      <c r="AG3" s="88"/>
      <c r="AH3" s="88"/>
      <c r="AI3" s="88"/>
      <c r="AJ3" s="88"/>
      <c r="AK3" s="83"/>
      <c r="AL3" s="83"/>
    </row>
    <row r="4" spans="1:38" ht="41.25" thickTop="1" x14ac:dyDescent="0.15">
      <c r="A4" s="40" t="s">
        <v>28</v>
      </c>
      <c r="B4" s="36"/>
      <c r="C4" s="48"/>
      <c r="D4" s="35">
        <v>2917375</v>
      </c>
      <c r="E4" s="57">
        <f t="shared" ref="E4:E35" si="0">LEN(D4)</f>
        <v>7</v>
      </c>
      <c r="F4" s="56" t="str">
        <f t="shared" ref="F4:F35" si="1">IF(E4=6,IF(OR(MID(D4,2,1)="4",MID(D4,2,1)="8"),"歯科","医科"),IF(OR(MID(D4,3,1)="4",MID(D4,3,1)="8"),"歯科","医科"))</f>
        <v>医科</v>
      </c>
      <c r="G4" s="56" t="str">
        <f t="shared" ref="G4:G35" si="2">IF(E4=6,IF(F4="医科","1310"&amp;D4,"1330"&amp;D4),IF(F4="医科","131"&amp;D4,"133"&amp;D4))</f>
        <v>1312917375</v>
      </c>
      <c r="H4" s="56" t="str">
        <f t="shared" ref="H4:H35" si="3">IF(G4=G3,"二重","　")</f>
        <v>　</v>
      </c>
      <c r="I4" s="57">
        <f t="shared" ref="I4:I35" si="4">COUNTIF($D$4:$D$50,D4)</f>
        <v>1</v>
      </c>
      <c r="J4" s="36" t="s">
        <v>29</v>
      </c>
      <c r="K4" s="36" t="s">
        <v>30</v>
      </c>
      <c r="L4" s="37" t="s">
        <v>31</v>
      </c>
      <c r="M4" s="36" t="s">
        <v>32</v>
      </c>
      <c r="N4" s="37" t="s">
        <v>33</v>
      </c>
      <c r="O4" s="36" t="s">
        <v>378</v>
      </c>
      <c r="P4" s="49" t="s">
        <v>276</v>
      </c>
      <c r="Q4" s="49" t="s">
        <v>275</v>
      </c>
      <c r="R4" s="37" t="s">
        <v>34</v>
      </c>
      <c r="S4" s="32" t="s">
        <v>475</v>
      </c>
      <c r="T4" s="52">
        <v>39114</v>
      </c>
      <c r="U4" s="63">
        <v>39173</v>
      </c>
      <c r="V4" s="52">
        <v>39173</v>
      </c>
      <c r="W4" s="48" t="s">
        <v>35</v>
      </c>
      <c r="X4" s="52">
        <v>45748</v>
      </c>
      <c r="Y4" s="38" t="s">
        <v>476</v>
      </c>
      <c r="Z4" s="38" t="s">
        <v>10</v>
      </c>
      <c r="AA4" s="32">
        <v>0</v>
      </c>
      <c r="AB4" s="32">
        <v>1</v>
      </c>
      <c r="AC4" s="32">
        <v>41904</v>
      </c>
      <c r="AD4" s="32"/>
      <c r="AE4" s="36" t="s">
        <v>411</v>
      </c>
      <c r="AF4" s="36" t="s">
        <v>477</v>
      </c>
      <c r="AG4" s="36" t="s">
        <v>478</v>
      </c>
      <c r="AH4" s="32"/>
      <c r="AI4" s="39"/>
      <c r="AJ4" s="39"/>
      <c r="AK4" s="77"/>
      <c r="AL4" s="77"/>
    </row>
    <row r="5" spans="1:38" ht="40.5" x14ac:dyDescent="0.15">
      <c r="A5" s="2" t="s">
        <v>37</v>
      </c>
      <c r="B5" s="3"/>
      <c r="C5" s="13"/>
      <c r="D5" s="4">
        <v>2923969</v>
      </c>
      <c r="E5" s="3">
        <f t="shared" si="0"/>
        <v>7</v>
      </c>
      <c r="F5" s="4" t="str">
        <f t="shared" si="1"/>
        <v>医科</v>
      </c>
      <c r="G5" s="4" t="str">
        <f t="shared" si="2"/>
        <v>1312923969</v>
      </c>
      <c r="H5" s="4" t="str">
        <f t="shared" si="3"/>
        <v>　</v>
      </c>
      <c r="I5" s="3">
        <f t="shared" si="4"/>
        <v>1</v>
      </c>
      <c r="J5" s="1" t="s">
        <v>38</v>
      </c>
      <c r="K5" s="1" t="s">
        <v>39</v>
      </c>
      <c r="L5" s="5" t="s">
        <v>31</v>
      </c>
      <c r="M5" s="1" t="s">
        <v>40</v>
      </c>
      <c r="N5" s="5" t="s">
        <v>41</v>
      </c>
      <c r="O5" s="1" t="s">
        <v>379</v>
      </c>
      <c r="P5" s="34" t="s">
        <v>277</v>
      </c>
      <c r="Q5" s="34" t="s">
        <v>294</v>
      </c>
      <c r="R5" s="5" t="s">
        <v>34</v>
      </c>
      <c r="S5" s="3" t="s">
        <v>42</v>
      </c>
      <c r="T5" s="26">
        <v>39111</v>
      </c>
      <c r="U5" s="62">
        <v>39173</v>
      </c>
      <c r="V5" s="26">
        <v>39173</v>
      </c>
      <c r="W5" s="13" t="s">
        <v>35</v>
      </c>
      <c r="X5" s="26">
        <v>45748</v>
      </c>
      <c r="Y5" s="66" t="s">
        <v>454</v>
      </c>
      <c r="Z5" s="66" t="s">
        <v>36</v>
      </c>
      <c r="AA5" s="3">
        <v>1</v>
      </c>
      <c r="AB5" s="3">
        <v>1</v>
      </c>
      <c r="AC5" s="3">
        <v>41904</v>
      </c>
      <c r="AD5" s="3"/>
      <c r="AE5" s="1" t="s">
        <v>293</v>
      </c>
      <c r="AF5" s="1"/>
      <c r="AG5" s="1"/>
      <c r="AH5" s="3"/>
      <c r="AI5" s="10"/>
      <c r="AJ5" s="10"/>
      <c r="AK5" s="75"/>
      <c r="AL5" s="75"/>
    </row>
    <row r="6" spans="1:38" ht="48.75" customHeight="1" x14ac:dyDescent="0.15">
      <c r="A6" s="2" t="s">
        <v>43</v>
      </c>
      <c r="B6" s="54"/>
      <c r="C6" s="66"/>
      <c r="D6" s="4">
        <v>2924959</v>
      </c>
      <c r="E6" s="3">
        <f t="shared" si="0"/>
        <v>7</v>
      </c>
      <c r="F6" s="4" t="str">
        <f t="shared" si="1"/>
        <v>医科</v>
      </c>
      <c r="G6" s="4" t="str">
        <f t="shared" si="2"/>
        <v>1312924959</v>
      </c>
      <c r="H6" s="4" t="str">
        <f t="shared" si="3"/>
        <v>　</v>
      </c>
      <c r="I6" s="3">
        <f t="shared" si="4"/>
        <v>1</v>
      </c>
      <c r="J6" s="1" t="s">
        <v>44</v>
      </c>
      <c r="K6" s="1" t="s">
        <v>45</v>
      </c>
      <c r="L6" s="5" t="s">
        <v>31</v>
      </c>
      <c r="M6" s="5" t="s">
        <v>46</v>
      </c>
      <c r="N6" s="5" t="s">
        <v>47</v>
      </c>
      <c r="O6" s="1" t="s">
        <v>380</v>
      </c>
      <c r="P6" s="34" t="s">
        <v>279</v>
      </c>
      <c r="Q6" s="34" t="s">
        <v>280</v>
      </c>
      <c r="R6" s="5" t="s">
        <v>34</v>
      </c>
      <c r="S6" s="5" t="s">
        <v>397</v>
      </c>
      <c r="T6" s="26">
        <v>39168</v>
      </c>
      <c r="U6" s="62">
        <v>38808</v>
      </c>
      <c r="V6" s="26">
        <v>39173</v>
      </c>
      <c r="W6" s="66" t="s">
        <v>48</v>
      </c>
      <c r="X6" s="26">
        <v>45748</v>
      </c>
      <c r="Y6" s="66" t="s">
        <v>455</v>
      </c>
      <c r="Z6" s="66" t="s">
        <v>36</v>
      </c>
      <c r="AA6" s="3">
        <v>1</v>
      </c>
      <c r="AB6" s="3">
        <v>1</v>
      </c>
      <c r="AC6" s="11">
        <v>41904</v>
      </c>
      <c r="AD6" s="3"/>
      <c r="AE6" s="1" t="s">
        <v>295</v>
      </c>
      <c r="AF6" s="1" t="s">
        <v>396</v>
      </c>
      <c r="AG6" s="1"/>
      <c r="AH6" s="3"/>
      <c r="AI6" s="10"/>
      <c r="AJ6" s="10"/>
      <c r="AK6" s="75"/>
      <c r="AL6" s="75"/>
    </row>
    <row r="7" spans="1:38" ht="54" x14ac:dyDescent="0.15">
      <c r="A7" s="2" t="s">
        <v>49</v>
      </c>
      <c r="B7" s="54"/>
      <c r="C7" s="13"/>
      <c r="D7" s="4">
        <v>2930030</v>
      </c>
      <c r="E7" s="3">
        <f t="shared" si="0"/>
        <v>7</v>
      </c>
      <c r="F7" s="4" t="str">
        <f t="shared" si="1"/>
        <v>医科</v>
      </c>
      <c r="G7" s="4" t="str">
        <f t="shared" si="2"/>
        <v>1312930030</v>
      </c>
      <c r="H7" s="4" t="str">
        <f t="shared" si="3"/>
        <v>　</v>
      </c>
      <c r="I7" s="3">
        <f t="shared" si="4"/>
        <v>1</v>
      </c>
      <c r="J7" s="1" t="s">
        <v>238</v>
      </c>
      <c r="K7" s="1" t="s">
        <v>50</v>
      </c>
      <c r="L7" s="5" t="s">
        <v>31</v>
      </c>
      <c r="M7" s="1" t="s">
        <v>51</v>
      </c>
      <c r="N7" s="5" t="s">
        <v>52</v>
      </c>
      <c r="O7" s="1" t="s">
        <v>381</v>
      </c>
      <c r="P7" s="34" t="s">
        <v>278</v>
      </c>
      <c r="Q7" s="34" t="s">
        <v>280</v>
      </c>
      <c r="R7" s="5" t="s">
        <v>34</v>
      </c>
      <c r="S7" s="3" t="s">
        <v>53</v>
      </c>
      <c r="T7" s="26">
        <v>39106</v>
      </c>
      <c r="U7" s="62">
        <v>39173</v>
      </c>
      <c r="V7" s="26">
        <v>39173</v>
      </c>
      <c r="W7" s="13" t="s">
        <v>35</v>
      </c>
      <c r="X7" s="26">
        <v>45748</v>
      </c>
      <c r="Y7" s="66" t="s">
        <v>456</v>
      </c>
      <c r="Z7" s="66" t="s">
        <v>36</v>
      </c>
      <c r="AA7" s="3">
        <v>1</v>
      </c>
      <c r="AB7" s="3">
        <v>1</v>
      </c>
      <c r="AC7" s="3">
        <v>41904</v>
      </c>
      <c r="AD7" s="3"/>
      <c r="AE7" s="1" t="s">
        <v>292</v>
      </c>
      <c r="AF7" s="1"/>
      <c r="AG7" s="1"/>
      <c r="AH7" s="3"/>
      <c r="AI7" s="10"/>
      <c r="AJ7" s="10"/>
      <c r="AK7" s="75"/>
      <c r="AL7" s="75"/>
    </row>
    <row r="8" spans="1:38" ht="108" x14ac:dyDescent="0.15">
      <c r="A8" s="2" t="s">
        <v>54</v>
      </c>
      <c r="B8" s="1"/>
      <c r="C8" s="13"/>
      <c r="D8" s="4">
        <v>2930345</v>
      </c>
      <c r="E8" s="3">
        <f t="shared" si="0"/>
        <v>7</v>
      </c>
      <c r="F8" s="4" t="str">
        <f t="shared" si="1"/>
        <v>医科</v>
      </c>
      <c r="G8" s="4" t="str">
        <f t="shared" si="2"/>
        <v>1312930345</v>
      </c>
      <c r="H8" s="4" t="str">
        <f t="shared" si="3"/>
        <v>　</v>
      </c>
      <c r="I8" s="3">
        <f t="shared" si="4"/>
        <v>1</v>
      </c>
      <c r="J8" s="1" t="s">
        <v>301</v>
      </c>
      <c r="K8" s="1" t="s">
        <v>55</v>
      </c>
      <c r="L8" s="5" t="s">
        <v>31</v>
      </c>
      <c r="M8" s="1" t="s">
        <v>56</v>
      </c>
      <c r="N8" s="5" t="s">
        <v>57</v>
      </c>
      <c r="O8" s="1" t="s">
        <v>382</v>
      </c>
      <c r="P8" s="34" t="s">
        <v>271</v>
      </c>
      <c r="Q8" s="34" t="s">
        <v>300</v>
      </c>
      <c r="R8" s="5" t="s">
        <v>34</v>
      </c>
      <c r="S8" s="3" t="s">
        <v>483</v>
      </c>
      <c r="T8" s="26">
        <v>39101</v>
      </c>
      <c r="U8" s="62">
        <v>39173</v>
      </c>
      <c r="V8" s="26">
        <v>39173</v>
      </c>
      <c r="W8" s="13" t="s">
        <v>35</v>
      </c>
      <c r="X8" s="26">
        <v>45748</v>
      </c>
      <c r="Y8" s="66" t="s">
        <v>457</v>
      </c>
      <c r="Z8" s="66" t="s">
        <v>36</v>
      </c>
      <c r="AA8" s="3">
        <v>1</v>
      </c>
      <c r="AB8" s="3">
        <v>1</v>
      </c>
      <c r="AC8" s="3">
        <v>41904</v>
      </c>
      <c r="AD8" s="3"/>
      <c r="AE8" s="1" t="s">
        <v>302</v>
      </c>
      <c r="AF8" s="1" t="s">
        <v>360</v>
      </c>
      <c r="AG8" s="1" t="s">
        <v>465</v>
      </c>
      <c r="AH8" s="1" t="s">
        <v>466</v>
      </c>
      <c r="AI8" s="12" t="s">
        <v>479</v>
      </c>
      <c r="AJ8" s="12" t="s">
        <v>484</v>
      </c>
      <c r="AK8" s="75"/>
      <c r="AL8" s="75"/>
    </row>
    <row r="9" spans="1:38" ht="27" x14ac:dyDescent="0.15">
      <c r="A9" s="2" t="s">
        <v>58</v>
      </c>
      <c r="B9" s="54"/>
      <c r="C9" s="13"/>
      <c r="D9" s="4">
        <v>2927168</v>
      </c>
      <c r="E9" s="3">
        <f t="shared" si="0"/>
        <v>7</v>
      </c>
      <c r="F9" s="4" t="str">
        <f t="shared" si="1"/>
        <v>医科</v>
      </c>
      <c r="G9" s="4" t="str">
        <f t="shared" si="2"/>
        <v>1312927168</v>
      </c>
      <c r="H9" s="4" t="str">
        <f t="shared" si="3"/>
        <v>　</v>
      </c>
      <c r="I9" s="3">
        <f t="shared" si="4"/>
        <v>1</v>
      </c>
      <c r="J9" s="1" t="s">
        <v>59</v>
      </c>
      <c r="K9" s="1" t="s">
        <v>60</v>
      </c>
      <c r="L9" s="5" t="s">
        <v>31</v>
      </c>
      <c r="M9" s="1" t="s">
        <v>61</v>
      </c>
      <c r="N9" s="5" t="s">
        <v>62</v>
      </c>
      <c r="O9" s="1" t="s">
        <v>63</v>
      </c>
      <c r="P9" s="34" t="s">
        <v>281</v>
      </c>
      <c r="Q9" s="34" t="s">
        <v>282</v>
      </c>
      <c r="R9" s="5" t="s">
        <v>34</v>
      </c>
      <c r="S9" s="3" t="s">
        <v>63</v>
      </c>
      <c r="T9" s="26">
        <v>39106</v>
      </c>
      <c r="U9" s="62">
        <v>39173</v>
      </c>
      <c r="V9" s="26">
        <v>39173</v>
      </c>
      <c r="W9" s="13" t="s">
        <v>35</v>
      </c>
      <c r="X9" s="26">
        <v>45748</v>
      </c>
      <c r="Y9" s="66" t="s">
        <v>458</v>
      </c>
      <c r="Z9" s="66" t="s">
        <v>10</v>
      </c>
      <c r="AA9" s="3">
        <v>0</v>
      </c>
      <c r="AB9" s="3">
        <v>1</v>
      </c>
      <c r="AC9" s="11">
        <v>41904</v>
      </c>
      <c r="AD9" s="3"/>
      <c r="AE9" s="1"/>
      <c r="AF9" s="1"/>
      <c r="AG9" s="1"/>
      <c r="AH9" s="3"/>
      <c r="AI9" s="10"/>
      <c r="AJ9" s="10"/>
      <c r="AK9" s="75"/>
      <c r="AL9" s="75"/>
    </row>
    <row r="10" spans="1:38" ht="27" x14ac:dyDescent="0.15">
      <c r="A10" s="2" t="s">
        <v>64</v>
      </c>
      <c r="B10" s="54"/>
      <c r="C10" s="44"/>
      <c r="D10" s="4">
        <v>2927671</v>
      </c>
      <c r="E10" s="3">
        <f t="shared" si="0"/>
        <v>7</v>
      </c>
      <c r="F10" s="4" t="str">
        <f t="shared" si="1"/>
        <v>医科</v>
      </c>
      <c r="G10" s="4" t="str">
        <f t="shared" si="2"/>
        <v>1312927671</v>
      </c>
      <c r="H10" s="4" t="str">
        <f t="shared" si="3"/>
        <v>　</v>
      </c>
      <c r="I10" s="3">
        <f t="shared" si="4"/>
        <v>1</v>
      </c>
      <c r="J10" s="1" t="s">
        <v>65</v>
      </c>
      <c r="K10" s="1" t="s">
        <v>66</v>
      </c>
      <c r="L10" s="5" t="s">
        <v>31</v>
      </c>
      <c r="M10" s="1" t="s">
        <v>67</v>
      </c>
      <c r="N10" s="5" t="s">
        <v>68</v>
      </c>
      <c r="O10" s="1" t="s">
        <v>69</v>
      </c>
      <c r="P10" s="34" t="s">
        <v>283</v>
      </c>
      <c r="Q10" s="34" t="s">
        <v>284</v>
      </c>
      <c r="R10" s="5" t="s">
        <v>34</v>
      </c>
      <c r="S10" s="3" t="s">
        <v>69</v>
      </c>
      <c r="T10" s="26">
        <v>39112</v>
      </c>
      <c r="U10" s="62">
        <v>39173</v>
      </c>
      <c r="V10" s="26">
        <v>39173</v>
      </c>
      <c r="W10" s="13" t="s">
        <v>35</v>
      </c>
      <c r="X10" s="26">
        <v>45748</v>
      </c>
      <c r="Y10" s="66" t="s">
        <v>459</v>
      </c>
      <c r="Z10" s="66" t="s">
        <v>36</v>
      </c>
      <c r="AA10" s="3">
        <v>1</v>
      </c>
      <c r="AB10" s="3">
        <v>1</v>
      </c>
      <c r="AC10" s="3">
        <v>41904</v>
      </c>
      <c r="AD10" s="3"/>
      <c r="AE10" s="1"/>
      <c r="AF10" s="1"/>
      <c r="AG10" s="1"/>
      <c r="AH10" s="3"/>
      <c r="AI10" s="10"/>
      <c r="AJ10" s="10"/>
      <c r="AK10" s="75"/>
      <c r="AL10" s="75"/>
    </row>
    <row r="11" spans="1:38" ht="67.5" x14ac:dyDescent="0.15">
      <c r="A11" s="2" t="s">
        <v>70</v>
      </c>
      <c r="B11" s="24"/>
      <c r="C11" s="13" t="s">
        <v>412</v>
      </c>
      <c r="D11" s="4">
        <v>2930600</v>
      </c>
      <c r="E11" s="3">
        <f t="shared" si="0"/>
        <v>7</v>
      </c>
      <c r="F11" s="4" t="str">
        <f t="shared" si="1"/>
        <v>医科</v>
      </c>
      <c r="G11" s="4" t="str">
        <f t="shared" si="2"/>
        <v>1312930600</v>
      </c>
      <c r="H11" s="4" t="str">
        <f t="shared" si="3"/>
        <v>　</v>
      </c>
      <c r="I11" s="3">
        <f t="shared" si="4"/>
        <v>1</v>
      </c>
      <c r="J11" s="18" t="s">
        <v>319</v>
      </c>
      <c r="K11" s="1" t="s">
        <v>71</v>
      </c>
      <c r="L11" s="5" t="s">
        <v>31</v>
      </c>
      <c r="M11" s="1" t="s">
        <v>72</v>
      </c>
      <c r="N11" s="5" t="s">
        <v>73</v>
      </c>
      <c r="O11" s="1" t="s">
        <v>383</v>
      </c>
      <c r="P11" s="34" t="s">
        <v>285</v>
      </c>
      <c r="Q11" s="34" t="s">
        <v>286</v>
      </c>
      <c r="R11" s="5" t="s">
        <v>34</v>
      </c>
      <c r="S11" s="3" t="s">
        <v>345</v>
      </c>
      <c r="T11" s="26">
        <v>39111</v>
      </c>
      <c r="U11" s="62">
        <v>39173</v>
      </c>
      <c r="V11" s="26">
        <v>39173</v>
      </c>
      <c r="W11" s="13" t="s">
        <v>35</v>
      </c>
      <c r="X11" s="26">
        <v>43556</v>
      </c>
      <c r="Y11" s="66" t="s">
        <v>298</v>
      </c>
      <c r="Z11" s="66" t="s">
        <v>36</v>
      </c>
      <c r="AA11" s="3">
        <v>1</v>
      </c>
      <c r="AB11" s="3">
        <v>1</v>
      </c>
      <c r="AC11" s="3">
        <v>41904</v>
      </c>
      <c r="AD11" s="71">
        <v>50703</v>
      </c>
      <c r="AE11" s="1" t="s">
        <v>74</v>
      </c>
      <c r="AF11" s="1" t="s">
        <v>75</v>
      </c>
      <c r="AG11" s="1" t="s">
        <v>320</v>
      </c>
      <c r="AH11" s="1" t="s">
        <v>344</v>
      </c>
      <c r="AI11" s="12" t="s">
        <v>361</v>
      </c>
      <c r="AJ11" s="12" t="s">
        <v>451</v>
      </c>
      <c r="AK11" s="75"/>
      <c r="AL11" s="75"/>
    </row>
    <row r="12" spans="1:38" ht="27" x14ac:dyDescent="0.15">
      <c r="A12" s="2" t="s">
        <v>76</v>
      </c>
      <c r="B12" s="54"/>
      <c r="C12" s="13"/>
      <c r="D12" s="4">
        <v>2927804</v>
      </c>
      <c r="E12" s="3">
        <f t="shared" si="0"/>
        <v>7</v>
      </c>
      <c r="F12" s="4" t="str">
        <f t="shared" si="1"/>
        <v>医科</v>
      </c>
      <c r="G12" s="4" t="str">
        <f t="shared" si="2"/>
        <v>1312927804</v>
      </c>
      <c r="H12" s="4" t="str">
        <f t="shared" si="3"/>
        <v>　</v>
      </c>
      <c r="I12" s="3">
        <f t="shared" si="4"/>
        <v>1</v>
      </c>
      <c r="J12" s="1" t="s">
        <v>77</v>
      </c>
      <c r="K12" s="1" t="s">
        <v>78</v>
      </c>
      <c r="L12" s="5" t="s">
        <v>31</v>
      </c>
      <c r="M12" s="1" t="s">
        <v>79</v>
      </c>
      <c r="N12" s="5" t="s">
        <v>80</v>
      </c>
      <c r="O12" s="1" t="s">
        <v>384</v>
      </c>
      <c r="P12" s="34" t="s">
        <v>287</v>
      </c>
      <c r="Q12" s="34" t="s">
        <v>288</v>
      </c>
      <c r="R12" s="5" t="s">
        <v>34</v>
      </c>
      <c r="S12" s="3" t="s">
        <v>81</v>
      </c>
      <c r="T12" s="26">
        <v>39112</v>
      </c>
      <c r="U12" s="62">
        <v>39173</v>
      </c>
      <c r="V12" s="26">
        <v>39173</v>
      </c>
      <c r="W12" s="13" t="s">
        <v>35</v>
      </c>
      <c r="X12" s="26">
        <v>45748</v>
      </c>
      <c r="Y12" s="66" t="s">
        <v>460</v>
      </c>
      <c r="Z12" s="66" t="s">
        <v>36</v>
      </c>
      <c r="AA12" s="3">
        <v>1</v>
      </c>
      <c r="AB12" s="3">
        <v>1</v>
      </c>
      <c r="AC12" s="11">
        <v>41904</v>
      </c>
      <c r="AD12" s="3"/>
      <c r="AE12" s="1"/>
      <c r="AF12" s="1"/>
      <c r="AG12" s="1"/>
      <c r="AH12" s="3"/>
      <c r="AI12" s="10"/>
      <c r="AJ12" s="10"/>
      <c r="AK12" s="75"/>
      <c r="AL12" s="75"/>
    </row>
    <row r="13" spans="1:38" ht="27" x14ac:dyDescent="0.15">
      <c r="A13" s="2" t="s">
        <v>82</v>
      </c>
      <c r="B13" s="3"/>
      <c r="C13" s="13" t="s">
        <v>83</v>
      </c>
      <c r="D13" s="4">
        <v>2927895</v>
      </c>
      <c r="E13" s="3">
        <f t="shared" si="0"/>
        <v>7</v>
      </c>
      <c r="F13" s="4" t="str">
        <f t="shared" si="1"/>
        <v>医科</v>
      </c>
      <c r="G13" s="4" t="str">
        <f t="shared" si="2"/>
        <v>1312927895</v>
      </c>
      <c r="H13" s="4" t="str">
        <f t="shared" si="3"/>
        <v>　</v>
      </c>
      <c r="I13" s="3">
        <f t="shared" si="4"/>
        <v>1</v>
      </c>
      <c r="J13" s="18" t="s">
        <v>84</v>
      </c>
      <c r="K13" s="1" t="s">
        <v>85</v>
      </c>
      <c r="L13" s="5" t="s">
        <v>31</v>
      </c>
      <c r="M13" s="1" t="s">
        <v>86</v>
      </c>
      <c r="N13" s="5" t="s">
        <v>87</v>
      </c>
      <c r="O13" s="1" t="s">
        <v>385</v>
      </c>
      <c r="P13" s="34"/>
      <c r="Q13" s="34"/>
      <c r="R13" s="5" t="s">
        <v>88</v>
      </c>
      <c r="S13" s="3" t="s">
        <v>89</v>
      </c>
      <c r="T13" s="26">
        <v>38996</v>
      </c>
      <c r="U13" s="62">
        <v>38808</v>
      </c>
      <c r="V13" s="26">
        <v>39083</v>
      </c>
      <c r="W13" s="13" t="s">
        <v>90</v>
      </c>
      <c r="X13" s="66"/>
      <c r="Y13" s="66"/>
      <c r="Z13" s="66" t="s">
        <v>36</v>
      </c>
      <c r="AA13" s="3">
        <v>1</v>
      </c>
      <c r="AB13" s="3">
        <v>1</v>
      </c>
      <c r="AC13" s="11">
        <v>41901</v>
      </c>
      <c r="AD13" s="71">
        <v>41903</v>
      </c>
      <c r="AE13" s="1" t="s">
        <v>91</v>
      </c>
      <c r="AF13" s="1"/>
      <c r="AG13" s="1"/>
      <c r="AH13" s="3"/>
      <c r="AI13" s="10"/>
      <c r="AJ13" s="10"/>
      <c r="AK13" s="75"/>
      <c r="AL13" s="75"/>
    </row>
    <row r="14" spans="1:38" ht="67.5" x14ac:dyDescent="0.15">
      <c r="A14" s="2" t="s">
        <v>92</v>
      </c>
      <c r="B14" s="3"/>
      <c r="C14" s="66"/>
      <c r="D14" s="4">
        <v>2928638</v>
      </c>
      <c r="E14" s="3">
        <f t="shared" si="0"/>
        <v>7</v>
      </c>
      <c r="F14" s="4" t="str">
        <f t="shared" si="1"/>
        <v>医科</v>
      </c>
      <c r="G14" s="4" t="str">
        <f t="shared" si="2"/>
        <v>1312928638</v>
      </c>
      <c r="H14" s="4" t="str">
        <f t="shared" si="3"/>
        <v>　</v>
      </c>
      <c r="I14" s="3">
        <f t="shared" si="4"/>
        <v>2</v>
      </c>
      <c r="J14" s="23" t="s">
        <v>93</v>
      </c>
      <c r="K14" s="1" t="s">
        <v>94</v>
      </c>
      <c r="L14" s="5" t="s">
        <v>31</v>
      </c>
      <c r="M14" s="1" t="s">
        <v>95</v>
      </c>
      <c r="N14" s="5" t="s">
        <v>96</v>
      </c>
      <c r="O14" s="1" t="s">
        <v>386</v>
      </c>
      <c r="P14" s="34"/>
      <c r="Q14" s="34"/>
      <c r="R14" s="5" t="s">
        <v>97</v>
      </c>
      <c r="S14" s="5" t="s">
        <v>98</v>
      </c>
      <c r="T14" s="26">
        <v>39265</v>
      </c>
      <c r="U14" s="62">
        <v>39356</v>
      </c>
      <c r="V14" s="26">
        <v>39356</v>
      </c>
      <c r="W14" s="66" t="s">
        <v>99</v>
      </c>
      <c r="X14" s="26">
        <v>45931</v>
      </c>
      <c r="Y14" s="80" t="s">
        <v>474</v>
      </c>
      <c r="Z14" s="66" t="s">
        <v>100</v>
      </c>
      <c r="AA14" s="3">
        <v>1</v>
      </c>
      <c r="AB14" s="3">
        <v>1</v>
      </c>
      <c r="AC14" s="11">
        <v>41910</v>
      </c>
      <c r="AD14" s="3"/>
      <c r="AE14" s="1" t="s">
        <v>101</v>
      </c>
      <c r="AF14" s="1"/>
      <c r="AG14" s="1"/>
      <c r="AH14" s="3"/>
      <c r="AI14" s="10"/>
      <c r="AJ14" s="10"/>
      <c r="AK14" s="75"/>
      <c r="AL14" s="75"/>
    </row>
    <row r="15" spans="1:38" ht="67.5" x14ac:dyDescent="0.15">
      <c r="A15" s="2" t="s">
        <v>92</v>
      </c>
      <c r="B15" s="3"/>
      <c r="C15" s="66"/>
      <c r="D15" s="4">
        <v>2928638</v>
      </c>
      <c r="E15" s="3">
        <f t="shared" si="0"/>
        <v>7</v>
      </c>
      <c r="F15" s="4" t="str">
        <f t="shared" si="1"/>
        <v>医科</v>
      </c>
      <c r="G15" s="4" t="str">
        <f t="shared" si="2"/>
        <v>1312928638</v>
      </c>
      <c r="H15" s="4" t="str">
        <f t="shared" si="3"/>
        <v>二重</v>
      </c>
      <c r="I15" s="3">
        <f t="shared" si="4"/>
        <v>2</v>
      </c>
      <c r="J15" s="23" t="s">
        <v>93</v>
      </c>
      <c r="K15" s="1" t="s">
        <v>94</v>
      </c>
      <c r="L15" s="5" t="s">
        <v>31</v>
      </c>
      <c r="M15" s="1" t="s">
        <v>95</v>
      </c>
      <c r="N15" s="5" t="s">
        <v>96</v>
      </c>
      <c r="O15" s="1" t="s">
        <v>386</v>
      </c>
      <c r="P15" s="34"/>
      <c r="Q15" s="34"/>
      <c r="R15" s="1" t="s">
        <v>102</v>
      </c>
      <c r="S15" s="19" t="s">
        <v>103</v>
      </c>
      <c r="T15" s="26">
        <v>39265</v>
      </c>
      <c r="U15" s="62">
        <v>39356</v>
      </c>
      <c r="V15" s="26">
        <v>39356</v>
      </c>
      <c r="W15" s="66" t="s">
        <v>99</v>
      </c>
      <c r="X15" s="26">
        <v>45931</v>
      </c>
      <c r="Y15" s="80" t="s">
        <v>474</v>
      </c>
      <c r="Z15" s="66" t="s">
        <v>100</v>
      </c>
      <c r="AA15" s="3">
        <v>1</v>
      </c>
      <c r="AB15" s="3">
        <v>1</v>
      </c>
      <c r="AC15" s="11">
        <v>41910</v>
      </c>
      <c r="AD15" s="3"/>
      <c r="AE15" s="1" t="s">
        <v>101</v>
      </c>
      <c r="AF15" s="1"/>
      <c r="AG15" s="1"/>
      <c r="AH15" s="3"/>
      <c r="AI15" s="10"/>
      <c r="AJ15" s="10"/>
      <c r="AK15" s="75"/>
      <c r="AL15" s="75"/>
    </row>
    <row r="16" spans="1:38" ht="67.5" x14ac:dyDescent="0.15">
      <c r="A16" s="2" t="s">
        <v>104</v>
      </c>
      <c r="B16" s="3"/>
      <c r="C16" s="13"/>
      <c r="D16" s="4">
        <v>2928729</v>
      </c>
      <c r="E16" s="3">
        <f t="shared" si="0"/>
        <v>7</v>
      </c>
      <c r="F16" s="4" t="str">
        <f t="shared" si="1"/>
        <v>医科</v>
      </c>
      <c r="G16" s="4" t="str">
        <f t="shared" si="2"/>
        <v>1312928729</v>
      </c>
      <c r="H16" s="4" t="str">
        <f t="shared" si="3"/>
        <v>　</v>
      </c>
      <c r="I16" s="3">
        <f t="shared" si="4"/>
        <v>1</v>
      </c>
      <c r="J16" s="1" t="s">
        <v>105</v>
      </c>
      <c r="K16" s="1" t="s">
        <v>106</v>
      </c>
      <c r="L16" s="5" t="s">
        <v>31</v>
      </c>
      <c r="M16" s="1" t="s">
        <v>107</v>
      </c>
      <c r="N16" s="5" t="s">
        <v>108</v>
      </c>
      <c r="O16" s="1" t="s">
        <v>109</v>
      </c>
      <c r="P16" s="34" t="s">
        <v>106</v>
      </c>
      <c r="Q16" s="34" t="s">
        <v>110</v>
      </c>
      <c r="R16" s="5" t="s">
        <v>34</v>
      </c>
      <c r="S16" s="3" t="s">
        <v>111</v>
      </c>
      <c r="T16" s="26">
        <v>38994</v>
      </c>
      <c r="U16" s="62">
        <v>38808</v>
      </c>
      <c r="V16" s="26">
        <v>39083</v>
      </c>
      <c r="W16" s="13" t="s">
        <v>90</v>
      </c>
      <c r="X16" s="26">
        <v>45658</v>
      </c>
      <c r="Y16" s="66" t="s">
        <v>425</v>
      </c>
      <c r="Z16" s="66" t="s">
        <v>36</v>
      </c>
      <c r="AA16" s="3">
        <v>1</v>
      </c>
      <c r="AB16" s="3">
        <v>1</v>
      </c>
      <c r="AC16" s="11">
        <v>41901</v>
      </c>
      <c r="AD16" s="3"/>
      <c r="AE16" s="1" t="s">
        <v>112</v>
      </c>
      <c r="AF16" s="1"/>
      <c r="AG16" s="1"/>
      <c r="AH16" s="3"/>
      <c r="AI16" s="10"/>
      <c r="AJ16" s="10"/>
      <c r="AK16" s="75"/>
      <c r="AL16" s="75"/>
    </row>
    <row r="17" spans="1:38" ht="108" x14ac:dyDescent="0.15">
      <c r="A17" s="2" t="s">
        <v>113</v>
      </c>
      <c r="B17" s="1" t="s">
        <v>505</v>
      </c>
      <c r="C17" s="13"/>
      <c r="D17" s="4">
        <v>2930352</v>
      </c>
      <c r="E17" s="3">
        <f t="shared" si="0"/>
        <v>7</v>
      </c>
      <c r="F17" s="4" t="str">
        <f t="shared" si="1"/>
        <v>医科</v>
      </c>
      <c r="G17" s="4" t="str">
        <f t="shared" si="2"/>
        <v>1312930352</v>
      </c>
      <c r="H17" s="4" t="str">
        <f t="shared" si="3"/>
        <v>　</v>
      </c>
      <c r="I17" s="3">
        <f t="shared" si="4"/>
        <v>1</v>
      </c>
      <c r="J17" s="1" t="s">
        <v>299</v>
      </c>
      <c r="K17" s="5" t="s">
        <v>114</v>
      </c>
      <c r="L17" s="5" t="s">
        <v>31</v>
      </c>
      <c r="M17" s="1" t="s">
        <v>115</v>
      </c>
      <c r="N17" s="5" t="s">
        <v>116</v>
      </c>
      <c r="O17" s="1" t="s">
        <v>382</v>
      </c>
      <c r="P17" s="34" t="s">
        <v>271</v>
      </c>
      <c r="Q17" s="34" t="s">
        <v>300</v>
      </c>
      <c r="R17" s="5" t="s">
        <v>34</v>
      </c>
      <c r="S17" s="3" t="s">
        <v>512</v>
      </c>
      <c r="T17" s="26">
        <v>39100</v>
      </c>
      <c r="U17" s="62">
        <v>39173</v>
      </c>
      <c r="V17" s="26">
        <v>39173</v>
      </c>
      <c r="W17" s="13" t="s">
        <v>35</v>
      </c>
      <c r="X17" s="26">
        <v>45748</v>
      </c>
      <c r="Y17" s="66" t="s">
        <v>461</v>
      </c>
      <c r="Z17" s="66" t="s">
        <v>36</v>
      </c>
      <c r="AA17" s="3">
        <v>1</v>
      </c>
      <c r="AB17" s="3">
        <v>1</v>
      </c>
      <c r="AC17" s="11">
        <v>41904</v>
      </c>
      <c r="AD17" s="3"/>
      <c r="AE17" s="1" t="s">
        <v>117</v>
      </c>
      <c r="AF17" s="1" t="s">
        <v>118</v>
      </c>
      <c r="AG17" s="1" t="s">
        <v>303</v>
      </c>
      <c r="AH17" s="1" t="s">
        <v>362</v>
      </c>
      <c r="AI17" s="12" t="s">
        <v>467</v>
      </c>
      <c r="AJ17" s="12" t="s">
        <v>480</v>
      </c>
      <c r="AK17" s="76" t="s">
        <v>486</v>
      </c>
      <c r="AL17" s="76" t="s">
        <v>511</v>
      </c>
    </row>
    <row r="18" spans="1:38" ht="40.5" x14ac:dyDescent="0.15">
      <c r="A18" s="2" t="s">
        <v>119</v>
      </c>
      <c r="B18" s="1" t="s">
        <v>505</v>
      </c>
      <c r="C18" s="45"/>
      <c r="D18" s="4">
        <v>2929057</v>
      </c>
      <c r="E18" s="3">
        <f t="shared" si="0"/>
        <v>7</v>
      </c>
      <c r="F18" s="4" t="str">
        <f t="shared" si="1"/>
        <v>医科</v>
      </c>
      <c r="G18" s="4" t="str">
        <f t="shared" si="2"/>
        <v>1312929057</v>
      </c>
      <c r="H18" s="4" t="str">
        <f t="shared" si="3"/>
        <v>　</v>
      </c>
      <c r="I18" s="3">
        <f t="shared" si="4"/>
        <v>1</v>
      </c>
      <c r="J18" s="1" t="s">
        <v>120</v>
      </c>
      <c r="K18" s="5" t="s">
        <v>121</v>
      </c>
      <c r="L18" s="5" t="s">
        <v>31</v>
      </c>
      <c r="M18" s="1" t="s">
        <v>122</v>
      </c>
      <c r="N18" s="5" t="s">
        <v>123</v>
      </c>
      <c r="O18" s="1" t="s">
        <v>124</v>
      </c>
      <c r="P18" s="34" t="s">
        <v>254</v>
      </c>
      <c r="Q18" s="34" t="s">
        <v>255</v>
      </c>
      <c r="R18" s="5" t="s">
        <v>125</v>
      </c>
      <c r="S18" s="5" t="s">
        <v>506</v>
      </c>
      <c r="T18" s="26">
        <v>40525</v>
      </c>
      <c r="U18" s="62">
        <v>40634</v>
      </c>
      <c r="V18" s="26">
        <v>40634</v>
      </c>
      <c r="W18" s="45" t="s">
        <v>126</v>
      </c>
      <c r="X18" s="62">
        <v>45017</v>
      </c>
      <c r="Y18" s="46" t="s">
        <v>376</v>
      </c>
      <c r="Z18" s="66" t="s">
        <v>36</v>
      </c>
      <c r="AA18" s="3">
        <v>1</v>
      </c>
      <c r="AB18" s="3">
        <v>1</v>
      </c>
      <c r="AC18" s="11">
        <v>42304</v>
      </c>
      <c r="AD18" s="3"/>
      <c r="AE18" s="1" t="s">
        <v>464</v>
      </c>
      <c r="AF18" s="1" t="s">
        <v>487</v>
      </c>
      <c r="AG18" s="1" t="s">
        <v>507</v>
      </c>
      <c r="AH18" s="1"/>
      <c r="AI18" s="12"/>
      <c r="AJ18" s="10"/>
      <c r="AK18" s="75"/>
      <c r="AL18" s="75"/>
    </row>
    <row r="19" spans="1:38" ht="27" x14ac:dyDescent="0.15">
      <c r="A19" s="2" t="s">
        <v>127</v>
      </c>
      <c r="B19" s="3"/>
      <c r="C19" s="13"/>
      <c r="D19" s="4">
        <v>2943827</v>
      </c>
      <c r="E19" s="3">
        <f t="shared" si="0"/>
        <v>7</v>
      </c>
      <c r="F19" s="4" t="str">
        <f t="shared" si="1"/>
        <v>歯科</v>
      </c>
      <c r="G19" s="4" t="str">
        <f t="shared" si="2"/>
        <v>1332943827</v>
      </c>
      <c r="H19" s="4" t="str">
        <f t="shared" si="3"/>
        <v>　</v>
      </c>
      <c r="I19" s="3">
        <f t="shared" si="4"/>
        <v>1</v>
      </c>
      <c r="J19" s="1" t="s">
        <v>128</v>
      </c>
      <c r="K19" s="1" t="s">
        <v>114</v>
      </c>
      <c r="L19" s="5" t="s">
        <v>31</v>
      </c>
      <c r="M19" s="1" t="s">
        <v>129</v>
      </c>
      <c r="N19" s="5" t="s">
        <v>130</v>
      </c>
      <c r="O19" s="1" t="s">
        <v>131</v>
      </c>
      <c r="P19" s="34" t="s">
        <v>132</v>
      </c>
      <c r="Q19" s="34" t="s">
        <v>272</v>
      </c>
      <c r="R19" s="5" t="s">
        <v>133</v>
      </c>
      <c r="S19" s="3" t="s">
        <v>134</v>
      </c>
      <c r="T19" s="26">
        <v>38991</v>
      </c>
      <c r="U19" s="62">
        <v>38808</v>
      </c>
      <c r="V19" s="26">
        <v>39083</v>
      </c>
      <c r="W19" s="13" t="s">
        <v>135</v>
      </c>
      <c r="X19" s="26">
        <v>45658</v>
      </c>
      <c r="Y19" s="66" t="s">
        <v>426</v>
      </c>
      <c r="Z19" s="66" t="s">
        <v>36</v>
      </c>
      <c r="AA19" s="3">
        <v>1</v>
      </c>
      <c r="AB19" s="3">
        <v>1</v>
      </c>
      <c r="AC19" s="11">
        <v>41901</v>
      </c>
      <c r="AD19" s="3"/>
      <c r="AE19" s="1"/>
      <c r="AF19" s="1"/>
      <c r="AG19" s="1"/>
      <c r="AH19" s="3"/>
      <c r="AI19" s="10"/>
      <c r="AJ19" s="10"/>
      <c r="AK19" s="75"/>
      <c r="AL19" s="75"/>
    </row>
    <row r="20" spans="1:38" ht="27" x14ac:dyDescent="0.15">
      <c r="A20" s="2" t="s">
        <v>136</v>
      </c>
      <c r="B20" s="3"/>
      <c r="C20" s="13"/>
      <c r="D20" s="4">
        <v>2945442</v>
      </c>
      <c r="E20" s="3">
        <f t="shared" si="0"/>
        <v>7</v>
      </c>
      <c r="F20" s="4" t="str">
        <f t="shared" si="1"/>
        <v>歯科</v>
      </c>
      <c r="G20" s="4" t="str">
        <f t="shared" si="2"/>
        <v>1332945442</v>
      </c>
      <c r="H20" s="4" t="str">
        <f t="shared" si="3"/>
        <v>　</v>
      </c>
      <c r="I20" s="3">
        <f t="shared" si="4"/>
        <v>1</v>
      </c>
      <c r="J20" s="1" t="s">
        <v>137</v>
      </c>
      <c r="K20" s="1" t="s">
        <v>114</v>
      </c>
      <c r="L20" s="5" t="s">
        <v>31</v>
      </c>
      <c r="M20" s="1" t="s">
        <v>138</v>
      </c>
      <c r="N20" s="5" t="s">
        <v>139</v>
      </c>
      <c r="O20" s="1" t="s">
        <v>387</v>
      </c>
      <c r="P20" s="34" t="s">
        <v>114</v>
      </c>
      <c r="Q20" s="34" t="s">
        <v>140</v>
      </c>
      <c r="R20" s="5" t="s">
        <v>133</v>
      </c>
      <c r="S20" s="10" t="s">
        <v>141</v>
      </c>
      <c r="T20" s="26">
        <v>39020</v>
      </c>
      <c r="U20" s="62">
        <v>38808</v>
      </c>
      <c r="V20" s="26">
        <v>39083</v>
      </c>
      <c r="W20" s="13" t="s">
        <v>142</v>
      </c>
      <c r="X20" s="26">
        <v>45658</v>
      </c>
      <c r="Y20" s="66" t="s">
        <v>427</v>
      </c>
      <c r="Z20" s="66" t="s">
        <v>36</v>
      </c>
      <c r="AA20" s="3">
        <v>1</v>
      </c>
      <c r="AB20" s="3">
        <v>1</v>
      </c>
      <c r="AC20" s="11">
        <v>41901</v>
      </c>
      <c r="AD20" s="3"/>
      <c r="AE20" s="1"/>
      <c r="AF20" s="1"/>
      <c r="AG20" s="1"/>
      <c r="AH20" s="3"/>
      <c r="AI20" s="10"/>
      <c r="AJ20" s="10"/>
      <c r="AK20" s="75"/>
      <c r="AL20" s="75"/>
    </row>
    <row r="21" spans="1:38" ht="40.5" x14ac:dyDescent="0.15">
      <c r="A21" s="2" t="s">
        <v>143</v>
      </c>
      <c r="B21" s="1"/>
      <c r="C21" s="13"/>
      <c r="D21" s="4">
        <v>2970051</v>
      </c>
      <c r="E21" s="3">
        <f t="shared" si="0"/>
        <v>7</v>
      </c>
      <c r="F21" s="4" t="str">
        <f t="shared" si="1"/>
        <v>医科</v>
      </c>
      <c r="G21" s="4" t="str">
        <f t="shared" si="2"/>
        <v>1312970051</v>
      </c>
      <c r="H21" s="4" t="str">
        <f t="shared" si="3"/>
        <v>　</v>
      </c>
      <c r="I21" s="3">
        <f t="shared" si="4"/>
        <v>11</v>
      </c>
      <c r="J21" s="1" t="s">
        <v>144</v>
      </c>
      <c r="K21" s="1" t="s">
        <v>259</v>
      </c>
      <c r="L21" s="5" t="s">
        <v>31</v>
      </c>
      <c r="M21" s="1" t="s">
        <v>145</v>
      </c>
      <c r="N21" s="5" t="s">
        <v>146</v>
      </c>
      <c r="O21" s="1" t="s">
        <v>389</v>
      </c>
      <c r="P21" s="34" t="s">
        <v>262</v>
      </c>
      <c r="Q21" s="34" t="s">
        <v>163</v>
      </c>
      <c r="R21" s="5" t="s">
        <v>147</v>
      </c>
      <c r="S21" s="1" t="s">
        <v>148</v>
      </c>
      <c r="T21" s="26">
        <v>39020</v>
      </c>
      <c r="U21" s="62">
        <v>38808</v>
      </c>
      <c r="V21" s="26">
        <v>39083</v>
      </c>
      <c r="W21" s="13" t="s">
        <v>142</v>
      </c>
      <c r="X21" s="26">
        <v>45658</v>
      </c>
      <c r="Y21" s="66" t="s">
        <v>428</v>
      </c>
      <c r="Z21" s="66" t="s">
        <v>36</v>
      </c>
      <c r="AA21" s="3">
        <v>1</v>
      </c>
      <c r="AB21" s="3">
        <v>1</v>
      </c>
      <c r="AC21" s="11">
        <v>41901</v>
      </c>
      <c r="AD21" s="3"/>
      <c r="AE21" s="1" t="s">
        <v>149</v>
      </c>
      <c r="AF21" s="1" t="s">
        <v>150</v>
      </c>
      <c r="AG21" s="1" t="s">
        <v>468</v>
      </c>
      <c r="AH21" s="1" t="s">
        <v>469</v>
      </c>
      <c r="AI21" s="10"/>
      <c r="AJ21" s="10"/>
      <c r="AK21" s="75"/>
      <c r="AL21" s="75"/>
    </row>
    <row r="22" spans="1:38" ht="40.5" x14ac:dyDescent="0.15">
      <c r="A22" s="2" t="s">
        <v>143</v>
      </c>
      <c r="B22" s="1"/>
      <c r="C22" s="74"/>
      <c r="D22" s="4">
        <v>2970051</v>
      </c>
      <c r="E22" s="3">
        <f t="shared" si="0"/>
        <v>7</v>
      </c>
      <c r="F22" s="4" t="str">
        <f t="shared" si="1"/>
        <v>医科</v>
      </c>
      <c r="G22" s="4" t="str">
        <f t="shared" si="2"/>
        <v>1312970051</v>
      </c>
      <c r="H22" s="4" t="str">
        <f t="shared" si="3"/>
        <v>二重</v>
      </c>
      <c r="I22" s="3">
        <f t="shared" si="4"/>
        <v>11</v>
      </c>
      <c r="J22" s="1" t="s">
        <v>144</v>
      </c>
      <c r="K22" s="1" t="s">
        <v>259</v>
      </c>
      <c r="L22" s="5" t="s">
        <v>31</v>
      </c>
      <c r="M22" s="1" t="s">
        <v>388</v>
      </c>
      <c r="N22" s="5" t="s">
        <v>146</v>
      </c>
      <c r="O22" s="1" t="s">
        <v>389</v>
      </c>
      <c r="P22" s="34" t="s">
        <v>262</v>
      </c>
      <c r="Q22" s="34" t="s">
        <v>163</v>
      </c>
      <c r="R22" s="5" t="s">
        <v>151</v>
      </c>
      <c r="S22" s="3" t="s">
        <v>152</v>
      </c>
      <c r="T22" s="26">
        <v>39020</v>
      </c>
      <c r="U22" s="62">
        <v>38808</v>
      </c>
      <c r="V22" s="26">
        <v>39083</v>
      </c>
      <c r="W22" s="13" t="s">
        <v>142</v>
      </c>
      <c r="X22" s="26">
        <v>45658</v>
      </c>
      <c r="Y22" s="66" t="s">
        <v>429</v>
      </c>
      <c r="Z22" s="66" t="s">
        <v>36</v>
      </c>
      <c r="AA22" s="3">
        <v>1</v>
      </c>
      <c r="AB22" s="3">
        <v>1</v>
      </c>
      <c r="AC22" s="11">
        <v>41901</v>
      </c>
      <c r="AD22" s="3"/>
      <c r="AE22" s="1" t="s">
        <v>153</v>
      </c>
      <c r="AF22" s="1" t="s">
        <v>154</v>
      </c>
      <c r="AG22" s="1" t="s">
        <v>468</v>
      </c>
      <c r="AH22" s="1" t="s">
        <v>469</v>
      </c>
      <c r="AI22" s="10"/>
      <c r="AJ22" s="10"/>
      <c r="AK22" s="75"/>
      <c r="AL22" s="75"/>
    </row>
    <row r="23" spans="1:38" ht="40.5" x14ac:dyDescent="0.15">
      <c r="A23" s="2" t="s">
        <v>143</v>
      </c>
      <c r="B23" s="1"/>
      <c r="C23" s="13"/>
      <c r="D23" s="4">
        <v>2970051</v>
      </c>
      <c r="E23" s="3">
        <f t="shared" si="0"/>
        <v>7</v>
      </c>
      <c r="F23" s="4" t="str">
        <f t="shared" si="1"/>
        <v>医科</v>
      </c>
      <c r="G23" s="4" t="str">
        <f t="shared" si="2"/>
        <v>1312970051</v>
      </c>
      <c r="H23" s="4" t="str">
        <f t="shared" si="3"/>
        <v>二重</v>
      </c>
      <c r="I23" s="3">
        <f t="shared" si="4"/>
        <v>11</v>
      </c>
      <c r="J23" s="1" t="s">
        <v>144</v>
      </c>
      <c r="K23" s="1" t="s">
        <v>258</v>
      </c>
      <c r="L23" s="5" t="s">
        <v>31</v>
      </c>
      <c r="M23" s="1" t="s">
        <v>145</v>
      </c>
      <c r="N23" s="5" t="s">
        <v>146</v>
      </c>
      <c r="O23" s="1" t="s">
        <v>389</v>
      </c>
      <c r="P23" s="34" t="s">
        <v>262</v>
      </c>
      <c r="Q23" s="34" t="s">
        <v>163</v>
      </c>
      <c r="R23" s="5" t="s">
        <v>155</v>
      </c>
      <c r="S23" s="10" t="s">
        <v>156</v>
      </c>
      <c r="T23" s="26">
        <v>39020</v>
      </c>
      <c r="U23" s="62">
        <v>38808</v>
      </c>
      <c r="V23" s="26">
        <v>39083</v>
      </c>
      <c r="W23" s="13" t="s">
        <v>142</v>
      </c>
      <c r="X23" s="26">
        <v>45658</v>
      </c>
      <c r="Y23" s="66" t="s">
        <v>430</v>
      </c>
      <c r="Z23" s="66" t="s">
        <v>36</v>
      </c>
      <c r="AA23" s="3">
        <v>1</v>
      </c>
      <c r="AB23" s="3">
        <v>1</v>
      </c>
      <c r="AC23" s="3">
        <v>41901</v>
      </c>
      <c r="AD23" s="3"/>
      <c r="AE23" s="1" t="s">
        <v>468</v>
      </c>
      <c r="AF23" s="1" t="s">
        <v>469</v>
      </c>
      <c r="AG23" s="1"/>
      <c r="AH23" s="3"/>
      <c r="AI23" s="10"/>
      <c r="AJ23" s="10"/>
      <c r="AK23" s="75"/>
      <c r="AL23" s="75"/>
    </row>
    <row r="24" spans="1:38" ht="48" customHeight="1" x14ac:dyDescent="0.15">
      <c r="A24" s="2" t="s">
        <v>143</v>
      </c>
      <c r="B24" s="1"/>
      <c r="C24" s="13"/>
      <c r="D24" s="4">
        <v>2970051</v>
      </c>
      <c r="E24" s="3">
        <f t="shared" si="0"/>
        <v>7</v>
      </c>
      <c r="F24" s="4" t="str">
        <f t="shared" si="1"/>
        <v>医科</v>
      </c>
      <c r="G24" s="4" t="str">
        <f t="shared" si="2"/>
        <v>1312970051</v>
      </c>
      <c r="H24" s="4" t="str">
        <f t="shared" si="3"/>
        <v>二重</v>
      </c>
      <c r="I24" s="3">
        <f t="shared" si="4"/>
        <v>11</v>
      </c>
      <c r="J24" s="1" t="s">
        <v>144</v>
      </c>
      <c r="K24" s="1" t="s">
        <v>258</v>
      </c>
      <c r="L24" s="5" t="s">
        <v>31</v>
      </c>
      <c r="M24" s="1" t="s">
        <v>145</v>
      </c>
      <c r="N24" s="5" t="s">
        <v>146</v>
      </c>
      <c r="O24" s="1" t="s">
        <v>389</v>
      </c>
      <c r="P24" s="34" t="s">
        <v>262</v>
      </c>
      <c r="Q24" s="34" t="s">
        <v>163</v>
      </c>
      <c r="R24" s="5" t="s">
        <v>97</v>
      </c>
      <c r="S24" s="3" t="s">
        <v>410</v>
      </c>
      <c r="T24" s="26">
        <v>39020</v>
      </c>
      <c r="U24" s="62">
        <v>38808</v>
      </c>
      <c r="V24" s="26">
        <v>39083</v>
      </c>
      <c r="W24" s="13" t="s">
        <v>142</v>
      </c>
      <c r="X24" s="26">
        <v>45658</v>
      </c>
      <c r="Y24" s="66" t="s">
        <v>431</v>
      </c>
      <c r="Z24" s="66" t="s">
        <v>36</v>
      </c>
      <c r="AA24" s="3">
        <v>1</v>
      </c>
      <c r="AB24" s="3">
        <v>1</v>
      </c>
      <c r="AC24" s="11">
        <v>41901</v>
      </c>
      <c r="AD24" s="3"/>
      <c r="AE24" s="1" t="s">
        <v>157</v>
      </c>
      <c r="AF24" s="1" t="s">
        <v>374</v>
      </c>
      <c r="AG24" s="1" t="s">
        <v>409</v>
      </c>
      <c r="AH24" s="1" t="s">
        <v>468</v>
      </c>
      <c r="AI24" s="1" t="s">
        <v>469</v>
      </c>
      <c r="AJ24" s="10"/>
      <c r="AK24" s="75"/>
      <c r="AL24" s="75"/>
    </row>
    <row r="25" spans="1:38" ht="40.5" x14ac:dyDescent="0.15">
      <c r="A25" s="2" t="s">
        <v>143</v>
      </c>
      <c r="B25" s="1"/>
      <c r="C25" s="13"/>
      <c r="D25" s="4">
        <v>2970051</v>
      </c>
      <c r="E25" s="3">
        <f t="shared" si="0"/>
        <v>7</v>
      </c>
      <c r="F25" s="4" t="str">
        <f t="shared" si="1"/>
        <v>医科</v>
      </c>
      <c r="G25" s="4" t="str">
        <f t="shared" si="2"/>
        <v>1312970051</v>
      </c>
      <c r="H25" s="4" t="str">
        <f t="shared" si="3"/>
        <v>二重</v>
      </c>
      <c r="I25" s="3">
        <f t="shared" si="4"/>
        <v>11</v>
      </c>
      <c r="J25" s="1" t="s">
        <v>144</v>
      </c>
      <c r="K25" s="1" t="s">
        <v>258</v>
      </c>
      <c r="L25" s="5" t="s">
        <v>31</v>
      </c>
      <c r="M25" s="1" t="s">
        <v>145</v>
      </c>
      <c r="N25" s="5" t="s">
        <v>146</v>
      </c>
      <c r="O25" s="1" t="s">
        <v>389</v>
      </c>
      <c r="P25" s="34" t="s">
        <v>262</v>
      </c>
      <c r="Q25" s="34" t="s">
        <v>163</v>
      </c>
      <c r="R25" s="5" t="s">
        <v>88</v>
      </c>
      <c r="S25" s="11" t="s">
        <v>350</v>
      </c>
      <c r="T25" s="26">
        <v>39020</v>
      </c>
      <c r="U25" s="62">
        <v>38808</v>
      </c>
      <c r="V25" s="26">
        <v>39083</v>
      </c>
      <c r="W25" s="13" t="s">
        <v>142</v>
      </c>
      <c r="X25" s="26">
        <v>45658</v>
      </c>
      <c r="Y25" s="66" t="s">
        <v>432</v>
      </c>
      <c r="Z25" s="66" t="s">
        <v>36</v>
      </c>
      <c r="AA25" s="3">
        <v>1</v>
      </c>
      <c r="AB25" s="3">
        <v>1</v>
      </c>
      <c r="AC25" s="3">
        <v>41901</v>
      </c>
      <c r="AD25" s="3"/>
      <c r="AE25" s="1" t="s">
        <v>237</v>
      </c>
      <c r="AF25" s="1" t="s">
        <v>351</v>
      </c>
      <c r="AG25" s="1" t="s">
        <v>468</v>
      </c>
      <c r="AH25" s="1" t="s">
        <v>469</v>
      </c>
      <c r="AI25" s="10"/>
      <c r="AJ25" s="10"/>
      <c r="AK25" s="75"/>
      <c r="AL25" s="75"/>
    </row>
    <row r="26" spans="1:38" ht="40.5" x14ac:dyDescent="0.15">
      <c r="A26" s="2" t="s">
        <v>260</v>
      </c>
      <c r="B26" s="1"/>
      <c r="C26" s="13"/>
      <c r="D26" s="4">
        <v>2970051</v>
      </c>
      <c r="E26" s="3">
        <f t="shared" si="0"/>
        <v>7</v>
      </c>
      <c r="F26" s="4" t="str">
        <f t="shared" si="1"/>
        <v>医科</v>
      </c>
      <c r="G26" s="4" t="str">
        <f t="shared" si="2"/>
        <v>1312970051</v>
      </c>
      <c r="H26" s="4" t="str">
        <f t="shared" si="3"/>
        <v>二重</v>
      </c>
      <c r="I26" s="3">
        <f t="shared" si="4"/>
        <v>11</v>
      </c>
      <c r="J26" s="1" t="s">
        <v>144</v>
      </c>
      <c r="K26" s="1" t="s">
        <v>258</v>
      </c>
      <c r="L26" s="5" t="s">
        <v>158</v>
      </c>
      <c r="M26" s="1" t="s">
        <v>145</v>
      </c>
      <c r="N26" s="5" t="s">
        <v>146</v>
      </c>
      <c r="O26" s="1" t="s">
        <v>389</v>
      </c>
      <c r="P26" s="34" t="s">
        <v>262</v>
      </c>
      <c r="Q26" s="34" t="s">
        <v>163</v>
      </c>
      <c r="R26" s="5" t="s">
        <v>159</v>
      </c>
      <c r="S26" s="1" t="s">
        <v>261</v>
      </c>
      <c r="T26" s="26">
        <v>38995</v>
      </c>
      <c r="U26" s="62">
        <v>39083</v>
      </c>
      <c r="V26" s="26">
        <v>39083</v>
      </c>
      <c r="W26" s="13" t="s">
        <v>160</v>
      </c>
      <c r="X26" s="26">
        <v>45658</v>
      </c>
      <c r="Y26" s="66" t="s">
        <v>433</v>
      </c>
      <c r="Z26" s="66" t="s">
        <v>36</v>
      </c>
      <c r="AA26" s="3">
        <v>1</v>
      </c>
      <c r="AB26" s="3">
        <v>1</v>
      </c>
      <c r="AC26" s="11">
        <v>41901</v>
      </c>
      <c r="AD26" s="3"/>
      <c r="AE26" s="1" t="s">
        <v>263</v>
      </c>
      <c r="AF26" s="1" t="s">
        <v>468</v>
      </c>
      <c r="AG26" s="1" t="s">
        <v>469</v>
      </c>
      <c r="AH26" s="3"/>
      <c r="AI26" s="10"/>
      <c r="AJ26" s="10"/>
      <c r="AK26" s="75"/>
      <c r="AL26" s="75"/>
    </row>
    <row r="27" spans="1:38" ht="40.5" x14ac:dyDescent="0.15">
      <c r="A27" s="2" t="s">
        <v>143</v>
      </c>
      <c r="B27" s="1"/>
      <c r="C27" s="13"/>
      <c r="D27" s="4">
        <v>2970051</v>
      </c>
      <c r="E27" s="3">
        <f t="shared" si="0"/>
        <v>7</v>
      </c>
      <c r="F27" s="4" t="str">
        <f t="shared" si="1"/>
        <v>医科</v>
      </c>
      <c r="G27" s="4" t="str">
        <f t="shared" si="2"/>
        <v>1312970051</v>
      </c>
      <c r="H27" s="4" t="str">
        <f t="shared" si="3"/>
        <v>二重</v>
      </c>
      <c r="I27" s="3">
        <f t="shared" si="4"/>
        <v>11</v>
      </c>
      <c r="J27" s="1" t="s">
        <v>144</v>
      </c>
      <c r="K27" s="1" t="s">
        <v>258</v>
      </c>
      <c r="L27" s="5" t="s">
        <v>31</v>
      </c>
      <c r="M27" s="1" t="s">
        <v>145</v>
      </c>
      <c r="N27" s="5" t="s">
        <v>146</v>
      </c>
      <c r="O27" s="1" t="s">
        <v>389</v>
      </c>
      <c r="P27" s="34" t="s">
        <v>262</v>
      </c>
      <c r="Q27" s="34" t="s">
        <v>163</v>
      </c>
      <c r="R27" s="5" t="s">
        <v>161</v>
      </c>
      <c r="S27" s="6" t="s">
        <v>323</v>
      </c>
      <c r="T27" s="26">
        <v>39020</v>
      </c>
      <c r="U27" s="62">
        <v>38808</v>
      </c>
      <c r="V27" s="26">
        <v>39083</v>
      </c>
      <c r="W27" s="13" t="s">
        <v>142</v>
      </c>
      <c r="X27" s="26">
        <v>45658</v>
      </c>
      <c r="Y27" s="66" t="s">
        <v>434</v>
      </c>
      <c r="Z27" s="66" t="s">
        <v>36</v>
      </c>
      <c r="AA27" s="3">
        <v>1</v>
      </c>
      <c r="AB27" s="3">
        <v>1</v>
      </c>
      <c r="AC27" s="3">
        <v>41901</v>
      </c>
      <c r="AD27" s="3"/>
      <c r="AE27" s="1" t="s">
        <v>357</v>
      </c>
      <c r="AF27" s="1" t="s">
        <v>324</v>
      </c>
      <c r="AG27" s="1" t="s">
        <v>468</v>
      </c>
      <c r="AH27" s="1" t="s">
        <v>469</v>
      </c>
      <c r="AI27" s="10"/>
      <c r="AJ27" s="10"/>
      <c r="AK27" s="75"/>
      <c r="AL27" s="75"/>
    </row>
    <row r="28" spans="1:38" ht="40.5" x14ac:dyDescent="0.15">
      <c r="A28" s="2" t="s">
        <v>143</v>
      </c>
      <c r="B28" s="1"/>
      <c r="C28" s="13"/>
      <c r="D28" s="4">
        <v>2970051</v>
      </c>
      <c r="E28" s="3">
        <f t="shared" si="0"/>
        <v>7</v>
      </c>
      <c r="F28" s="4" t="str">
        <f t="shared" si="1"/>
        <v>医科</v>
      </c>
      <c r="G28" s="4" t="str">
        <f t="shared" si="2"/>
        <v>1312970051</v>
      </c>
      <c r="H28" s="4" t="str">
        <f t="shared" si="3"/>
        <v>二重</v>
      </c>
      <c r="I28" s="3">
        <f t="shared" si="4"/>
        <v>11</v>
      </c>
      <c r="J28" s="1" t="s">
        <v>144</v>
      </c>
      <c r="K28" s="1" t="s">
        <v>258</v>
      </c>
      <c r="L28" s="5" t="s">
        <v>31</v>
      </c>
      <c r="M28" s="1" t="s">
        <v>145</v>
      </c>
      <c r="N28" s="5" t="s">
        <v>146</v>
      </c>
      <c r="O28" s="1" t="s">
        <v>389</v>
      </c>
      <c r="P28" s="34" t="s">
        <v>162</v>
      </c>
      <c r="Q28" s="34" t="s">
        <v>163</v>
      </c>
      <c r="R28" s="5" t="s">
        <v>34</v>
      </c>
      <c r="S28" s="3" t="s">
        <v>373</v>
      </c>
      <c r="T28" s="26">
        <v>39020</v>
      </c>
      <c r="U28" s="62">
        <v>38808</v>
      </c>
      <c r="V28" s="26">
        <v>39083</v>
      </c>
      <c r="W28" s="13" t="s">
        <v>142</v>
      </c>
      <c r="X28" s="26">
        <v>45658</v>
      </c>
      <c r="Y28" s="66" t="s">
        <v>435</v>
      </c>
      <c r="Z28" s="66" t="s">
        <v>36</v>
      </c>
      <c r="AA28" s="3">
        <v>1</v>
      </c>
      <c r="AB28" s="3">
        <v>1</v>
      </c>
      <c r="AC28" s="3">
        <v>41901</v>
      </c>
      <c r="AD28" s="3"/>
      <c r="AE28" s="1" t="s">
        <v>164</v>
      </c>
      <c r="AF28" s="1" t="s">
        <v>372</v>
      </c>
      <c r="AG28" s="1" t="s">
        <v>468</v>
      </c>
      <c r="AH28" s="1" t="s">
        <v>469</v>
      </c>
      <c r="AI28" s="10"/>
      <c r="AJ28" s="10"/>
      <c r="AK28" s="75"/>
      <c r="AL28" s="75"/>
    </row>
    <row r="29" spans="1:38" ht="40.5" x14ac:dyDescent="0.15">
      <c r="A29" s="2" t="s">
        <v>143</v>
      </c>
      <c r="B29" s="1"/>
      <c r="C29" s="13"/>
      <c r="D29" s="4">
        <v>2970051</v>
      </c>
      <c r="E29" s="3">
        <f t="shared" si="0"/>
        <v>7</v>
      </c>
      <c r="F29" s="4" t="str">
        <f t="shared" si="1"/>
        <v>医科</v>
      </c>
      <c r="G29" s="4" t="str">
        <f t="shared" si="2"/>
        <v>1312970051</v>
      </c>
      <c r="H29" s="4" t="str">
        <f t="shared" si="3"/>
        <v>二重</v>
      </c>
      <c r="I29" s="3">
        <f t="shared" si="4"/>
        <v>11</v>
      </c>
      <c r="J29" s="1" t="s">
        <v>144</v>
      </c>
      <c r="K29" s="1" t="s">
        <v>258</v>
      </c>
      <c r="L29" s="5" t="s">
        <v>31</v>
      </c>
      <c r="M29" s="1" t="s">
        <v>145</v>
      </c>
      <c r="N29" s="5" t="s">
        <v>146</v>
      </c>
      <c r="O29" s="1" t="s">
        <v>389</v>
      </c>
      <c r="P29" s="34" t="s">
        <v>262</v>
      </c>
      <c r="Q29" s="34" t="s">
        <v>163</v>
      </c>
      <c r="R29" s="5" t="s">
        <v>165</v>
      </c>
      <c r="S29" s="3" t="s">
        <v>166</v>
      </c>
      <c r="T29" s="26">
        <v>39020</v>
      </c>
      <c r="U29" s="62">
        <v>38808</v>
      </c>
      <c r="V29" s="26">
        <v>39083</v>
      </c>
      <c r="W29" s="13" t="s">
        <v>142</v>
      </c>
      <c r="X29" s="26">
        <v>45658</v>
      </c>
      <c r="Y29" s="66" t="s">
        <v>436</v>
      </c>
      <c r="Z29" s="66" t="s">
        <v>36</v>
      </c>
      <c r="AA29" s="3">
        <v>1</v>
      </c>
      <c r="AB29" s="3">
        <v>1</v>
      </c>
      <c r="AC29" s="11">
        <v>41901</v>
      </c>
      <c r="AD29" s="3"/>
      <c r="AE29" s="1" t="s">
        <v>164</v>
      </c>
      <c r="AF29" s="1" t="s">
        <v>167</v>
      </c>
      <c r="AG29" s="1" t="s">
        <v>468</v>
      </c>
      <c r="AH29" s="1" t="s">
        <v>469</v>
      </c>
      <c r="AI29" s="10"/>
      <c r="AJ29" s="10"/>
      <c r="AK29" s="75"/>
      <c r="AL29" s="75"/>
    </row>
    <row r="30" spans="1:38" ht="40.5" x14ac:dyDescent="0.15">
      <c r="A30" s="2" t="s">
        <v>143</v>
      </c>
      <c r="B30" s="1"/>
      <c r="C30" s="13"/>
      <c r="D30" s="4">
        <v>2970051</v>
      </c>
      <c r="E30" s="3">
        <f t="shared" si="0"/>
        <v>7</v>
      </c>
      <c r="F30" s="4" t="str">
        <f t="shared" si="1"/>
        <v>医科</v>
      </c>
      <c r="G30" s="4" t="str">
        <f t="shared" si="2"/>
        <v>1312970051</v>
      </c>
      <c r="H30" s="4" t="str">
        <f t="shared" si="3"/>
        <v>二重</v>
      </c>
      <c r="I30" s="3">
        <f t="shared" si="4"/>
        <v>11</v>
      </c>
      <c r="J30" s="1" t="s">
        <v>144</v>
      </c>
      <c r="K30" s="1" t="s">
        <v>258</v>
      </c>
      <c r="L30" s="5" t="s">
        <v>31</v>
      </c>
      <c r="M30" s="1" t="s">
        <v>145</v>
      </c>
      <c r="N30" s="5" t="s">
        <v>146</v>
      </c>
      <c r="O30" s="1" t="s">
        <v>389</v>
      </c>
      <c r="P30" s="34" t="s">
        <v>162</v>
      </c>
      <c r="Q30" s="34" t="s">
        <v>163</v>
      </c>
      <c r="R30" s="5" t="s">
        <v>358</v>
      </c>
      <c r="S30" s="16" t="s">
        <v>270</v>
      </c>
      <c r="T30" s="26">
        <v>40144</v>
      </c>
      <c r="U30" s="64">
        <v>40269</v>
      </c>
      <c r="V30" s="51">
        <v>40269</v>
      </c>
      <c r="W30" s="45" t="s">
        <v>168</v>
      </c>
      <c r="X30" s="62">
        <v>44652</v>
      </c>
      <c r="Y30" s="15" t="s">
        <v>346</v>
      </c>
      <c r="Z30" s="66" t="s">
        <v>36</v>
      </c>
      <c r="AA30" s="3">
        <v>1</v>
      </c>
      <c r="AB30" s="3">
        <v>1</v>
      </c>
      <c r="AC30" s="3">
        <v>42204</v>
      </c>
      <c r="AD30" s="3"/>
      <c r="AE30" s="41" t="s">
        <v>269</v>
      </c>
      <c r="AF30" s="1" t="s">
        <v>468</v>
      </c>
      <c r="AG30" s="1" t="s">
        <v>469</v>
      </c>
      <c r="AH30" s="6"/>
      <c r="AI30" s="10"/>
      <c r="AJ30" s="10"/>
      <c r="AK30" s="75"/>
      <c r="AL30" s="75"/>
    </row>
    <row r="31" spans="1:38" ht="40.5" x14ac:dyDescent="0.15">
      <c r="A31" s="2" t="s">
        <v>143</v>
      </c>
      <c r="B31" s="1"/>
      <c r="C31" s="13"/>
      <c r="D31" s="4">
        <v>2970051</v>
      </c>
      <c r="E31" s="3">
        <f t="shared" si="0"/>
        <v>7</v>
      </c>
      <c r="F31" s="4" t="str">
        <f t="shared" si="1"/>
        <v>医科</v>
      </c>
      <c r="G31" s="4" t="str">
        <f t="shared" si="2"/>
        <v>1312970051</v>
      </c>
      <c r="H31" s="4" t="str">
        <f t="shared" si="3"/>
        <v>二重</v>
      </c>
      <c r="I31" s="3">
        <f t="shared" si="4"/>
        <v>11</v>
      </c>
      <c r="J31" s="1" t="s">
        <v>144</v>
      </c>
      <c r="K31" s="1" t="s">
        <v>258</v>
      </c>
      <c r="L31" s="5" t="s">
        <v>158</v>
      </c>
      <c r="M31" s="1" t="s">
        <v>145</v>
      </c>
      <c r="N31" s="5" t="s">
        <v>146</v>
      </c>
      <c r="O31" s="1" t="s">
        <v>389</v>
      </c>
      <c r="P31" s="34" t="s">
        <v>162</v>
      </c>
      <c r="Q31" s="34" t="s">
        <v>163</v>
      </c>
      <c r="R31" s="5" t="s">
        <v>169</v>
      </c>
      <c r="S31" s="3" t="s">
        <v>268</v>
      </c>
      <c r="T31" s="26">
        <v>38995</v>
      </c>
      <c r="U31" s="62">
        <v>39083</v>
      </c>
      <c r="V31" s="26">
        <v>39083</v>
      </c>
      <c r="W31" s="13" t="s">
        <v>160</v>
      </c>
      <c r="X31" s="26">
        <v>45658</v>
      </c>
      <c r="Y31" s="66" t="s">
        <v>437</v>
      </c>
      <c r="Z31" s="66" t="s">
        <v>36</v>
      </c>
      <c r="AA31" s="3">
        <v>1</v>
      </c>
      <c r="AB31" s="3">
        <v>1</v>
      </c>
      <c r="AC31" s="11">
        <v>41901</v>
      </c>
      <c r="AD31" s="3"/>
      <c r="AE31" s="1" t="s">
        <v>170</v>
      </c>
      <c r="AF31" s="1" t="s">
        <v>266</v>
      </c>
      <c r="AG31" s="1" t="s">
        <v>267</v>
      </c>
      <c r="AH31" s="1" t="s">
        <v>468</v>
      </c>
      <c r="AI31" s="1" t="s">
        <v>469</v>
      </c>
      <c r="AJ31" s="10"/>
      <c r="AK31" s="75"/>
      <c r="AL31" s="75"/>
    </row>
    <row r="32" spans="1:38" ht="148.5" x14ac:dyDescent="0.15">
      <c r="A32" s="2" t="s">
        <v>171</v>
      </c>
      <c r="B32" s="3"/>
      <c r="C32" s="14" t="s">
        <v>83</v>
      </c>
      <c r="D32" s="4">
        <v>2970085</v>
      </c>
      <c r="E32" s="3">
        <f t="shared" si="0"/>
        <v>7</v>
      </c>
      <c r="F32" s="4" t="str">
        <f t="shared" si="1"/>
        <v>医科</v>
      </c>
      <c r="G32" s="4" t="str">
        <f t="shared" si="2"/>
        <v>1312970085</v>
      </c>
      <c r="H32" s="4" t="str">
        <f t="shared" si="3"/>
        <v>　</v>
      </c>
      <c r="I32" s="3">
        <f t="shared" si="4"/>
        <v>2</v>
      </c>
      <c r="J32" s="18" t="s">
        <v>172</v>
      </c>
      <c r="K32" s="4" t="s">
        <v>121</v>
      </c>
      <c r="L32" s="5" t="s">
        <v>31</v>
      </c>
      <c r="M32" s="1" t="s">
        <v>173</v>
      </c>
      <c r="N32" s="1" t="s">
        <v>174</v>
      </c>
      <c r="O32" s="1" t="s">
        <v>175</v>
      </c>
      <c r="P32" s="34"/>
      <c r="Q32" s="34"/>
      <c r="R32" s="5" t="s">
        <v>176</v>
      </c>
      <c r="S32" s="1" t="s">
        <v>177</v>
      </c>
      <c r="T32" s="42">
        <v>39360</v>
      </c>
      <c r="U32" s="65">
        <v>39448</v>
      </c>
      <c r="V32" s="42">
        <v>39448</v>
      </c>
      <c r="W32" s="14" t="s">
        <v>178</v>
      </c>
      <c r="X32" s="14"/>
      <c r="Y32" s="14"/>
      <c r="Z32" s="14" t="s">
        <v>36</v>
      </c>
      <c r="AA32" s="3">
        <v>1</v>
      </c>
      <c r="AB32" s="3">
        <v>1</v>
      </c>
      <c r="AC32" s="11">
        <v>42001</v>
      </c>
      <c r="AD32" s="3">
        <v>42202</v>
      </c>
      <c r="AE32" s="1" t="s">
        <v>179</v>
      </c>
      <c r="AF32" s="1"/>
      <c r="AG32" s="1"/>
      <c r="AH32" s="3"/>
      <c r="AI32" s="10"/>
      <c r="AJ32" s="10"/>
      <c r="AK32" s="75"/>
      <c r="AL32" s="75"/>
    </row>
    <row r="33" spans="1:38" ht="148.5" x14ac:dyDescent="0.15">
      <c r="A33" s="2" t="s">
        <v>171</v>
      </c>
      <c r="B33" s="3"/>
      <c r="C33" s="13" t="s">
        <v>83</v>
      </c>
      <c r="D33" s="4">
        <v>2970085</v>
      </c>
      <c r="E33" s="3">
        <f t="shared" si="0"/>
        <v>7</v>
      </c>
      <c r="F33" s="4" t="str">
        <f t="shared" si="1"/>
        <v>医科</v>
      </c>
      <c r="G33" s="4" t="str">
        <f t="shared" si="2"/>
        <v>1312970085</v>
      </c>
      <c r="H33" s="4" t="str">
        <f t="shared" si="3"/>
        <v>二重</v>
      </c>
      <c r="I33" s="3">
        <f t="shared" si="4"/>
        <v>2</v>
      </c>
      <c r="J33" s="18" t="s">
        <v>180</v>
      </c>
      <c r="K33" s="1" t="s">
        <v>121</v>
      </c>
      <c r="L33" s="5" t="s">
        <v>31</v>
      </c>
      <c r="M33" s="1" t="s">
        <v>181</v>
      </c>
      <c r="N33" s="5" t="s">
        <v>174</v>
      </c>
      <c r="O33" s="1" t="s">
        <v>175</v>
      </c>
      <c r="P33" s="34"/>
      <c r="Q33" s="34"/>
      <c r="R33" s="5" t="s">
        <v>161</v>
      </c>
      <c r="S33" s="3" t="s">
        <v>182</v>
      </c>
      <c r="T33" s="26">
        <v>39038</v>
      </c>
      <c r="U33" s="62">
        <v>38808</v>
      </c>
      <c r="V33" s="26">
        <v>39083</v>
      </c>
      <c r="W33" s="13" t="s">
        <v>183</v>
      </c>
      <c r="X33" s="66"/>
      <c r="Y33" s="66"/>
      <c r="Z33" s="66" t="s">
        <v>36</v>
      </c>
      <c r="AA33" s="3">
        <v>1</v>
      </c>
      <c r="AB33" s="3">
        <v>1</v>
      </c>
      <c r="AC33" s="11">
        <v>41901</v>
      </c>
      <c r="AD33" s="71">
        <v>42202</v>
      </c>
      <c r="AE33" s="1" t="s">
        <v>179</v>
      </c>
      <c r="AF33" s="1"/>
      <c r="AG33" s="1"/>
      <c r="AH33" s="3"/>
      <c r="AI33" s="10"/>
      <c r="AJ33" s="10"/>
      <c r="AK33" s="75"/>
      <c r="AL33" s="75"/>
    </row>
    <row r="34" spans="1:38" ht="67.5" x14ac:dyDescent="0.15">
      <c r="A34" s="2" t="s">
        <v>184</v>
      </c>
      <c r="B34" s="54"/>
      <c r="C34" s="13"/>
      <c r="D34" s="4">
        <v>2971232</v>
      </c>
      <c r="E34" s="3">
        <f t="shared" si="0"/>
        <v>7</v>
      </c>
      <c r="F34" s="4" t="str">
        <f t="shared" si="1"/>
        <v>医科</v>
      </c>
      <c r="G34" s="4" t="str">
        <f t="shared" si="2"/>
        <v>1312971232</v>
      </c>
      <c r="H34" s="4" t="str">
        <f t="shared" si="3"/>
        <v>　</v>
      </c>
      <c r="I34" s="3">
        <f t="shared" si="4"/>
        <v>1</v>
      </c>
      <c r="J34" s="1" t="s">
        <v>413</v>
      </c>
      <c r="K34" s="1" t="s">
        <v>305</v>
      </c>
      <c r="L34" s="5" t="s">
        <v>31</v>
      </c>
      <c r="M34" s="1" t="s">
        <v>307</v>
      </c>
      <c r="N34" s="5" t="s">
        <v>185</v>
      </c>
      <c r="O34" s="1" t="s">
        <v>414</v>
      </c>
      <c r="P34" s="34" t="s">
        <v>306</v>
      </c>
      <c r="Q34" s="34" t="s">
        <v>308</v>
      </c>
      <c r="R34" s="5" t="s">
        <v>34</v>
      </c>
      <c r="S34" s="3" t="s">
        <v>489</v>
      </c>
      <c r="T34" s="26">
        <v>39115</v>
      </c>
      <c r="U34" s="62">
        <v>39173</v>
      </c>
      <c r="V34" s="26">
        <v>39173</v>
      </c>
      <c r="W34" s="13" t="s">
        <v>35</v>
      </c>
      <c r="X34" s="26">
        <v>45748</v>
      </c>
      <c r="Y34" s="66" t="s">
        <v>462</v>
      </c>
      <c r="Z34" s="66" t="s">
        <v>10</v>
      </c>
      <c r="AA34" s="3"/>
      <c r="AB34" s="3">
        <v>1</v>
      </c>
      <c r="AC34" s="3">
        <v>41904</v>
      </c>
      <c r="AD34" s="3"/>
      <c r="AE34" s="1" t="s">
        <v>291</v>
      </c>
      <c r="AF34" s="1" t="s">
        <v>304</v>
      </c>
      <c r="AG34" s="1" t="s">
        <v>424</v>
      </c>
      <c r="AH34" s="1" t="s">
        <v>415</v>
      </c>
      <c r="AI34" s="12" t="s">
        <v>419</v>
      </c>
      <c r="AJ34" s="12" t="s">
        <v>482</v>
      </c>
      <c r="AK34" s="28" t="s">
        <v>488</v>
      </c>
      <c r="AL34" s="28"/>
    </row>
    <row r="35" spans="1:38" ht="67.5" x14ac:dyDescent="0.15">
      <c r="A35" s="2" t="s">
        <v>186</v>
      </c>
      <c r="B35" s="54"/>
      <c r="C35" s="13"/>
      <c r="D35" s="4">
        <v>2971257</v>
      </c>
      <c r="E35" s="3">
        <f t="shared" si="0"/>
        <v>7</v>
      </c>
      <c r="F35" s="4" t="str">
        <f t="shared" si="1"/>
        <v>医科</v>
      </c>
      <c r="G35" s="4" t="str">
        <f t="shared" si="2"/>
        <v>1312971257</v>
      </c>
      <c r="H35" s="4" t="str">
        <f t="shared" si="3"/>
        <v>　</v>
      </c>
      <c r="I35" s="3">
        <f t="shared" si="4"/>
        <v>1</v>
      </c>
      <c r="J35" s="1" t="s">
        <v>316</v>
      </c>
      <c r="K35" s="1" t="s">
        <v>187</v>
      </c>
      <c r="L35" s="5" t="s">
        <v>31</v>
      </c>
      <c r="M35" s="1" t="s">
        <v>188</v>
      </c>
      <c r="N35" s="5" t="s">
        <v>189</v>
      </c>
      <c r="O35" s="1" t="s">
        <v>390</v>
      </c>
      <c r="P35" s="34" t="s">
        <v>289</v>
      </c>
      <c r="Q35" s="34" t="s">
        <v>290</v>
      </c>
      <c r="R35" s="5" t="s">
        <v>34</v>
      </c>
      <c r="S35" s="3" t="s">
        <v>364</v>
      </c>
      <c r="T35" s="26">
        <v>39114</v>
      </c>
      <c r="U35" s="62">
        <v>39173</v>
      </c>
      <c r="V35" s="26">
        <v>39173</v>
      </c>
      <c r="W35" s="13" t="s">
        <v>35</v>
      </c>
      <c r="X35" s="26">
        <v>45748</v>
      </c>
      <c r="Y35" s="66" t="s">
        <v>463</v>
      </c>
      <c r="Z35" s="66" t="s">
        <v>36</v>
      </c>
      <c r="AA35" s="3">
        <v>1</v>
      </c>
      <c r="AB35" s="3">
        <v>1</v>
      </c>
      <c r="AC35" s="11">
        <v>41904</v>
      </c>
      <c r="AD35" s="3"/>
      <c r="AE35" s="1" t="s">
        <v>318</v>
      </c>
      <c r="AF35" s="1" t="s">
        <v>365</v>
      </c>
      <c r="AG35" s="1" t="s">
        <v>366</v>
      </c>
      <c r="AH35" s="3"/>
      <c r="AI35" s="10"/>
      <c r="AJ35" s="10"/>
      <c r="AK35" s="75"/>
      <c r="AL35" s="75"/>
    </row>
    <row r="36" spans="1:38" ht="67.5" x14ac:dyDescent="0.15">
      <c r="A36" s="2" t="s">
        <v>190</v>
      </c>
      <c r="B36" s="1"/>
      <c r="C36" s="13"/>
      <c r="D36" s="4">
        <v>2971083</v>
      </c>
      <c r="E36" s="3">
        <f t="shared" ref="E36:E53" si="5">LEN(D36)</f>
        <v>7</v>
      </c>
      <c r="F36" s="4" t="str">
        <f t="shared" ref="F36:F53" si="6">IF(E36=6,IF(OR(MID(D36,2,1)="4",MID(D36,2,1)="8"),"歯科","医科"),IF(OR(MID(D36,3,1)="4",MID(D36,3,1)="8"),"歯科","医科"))</f>
        <v>医科</v>
      </c>
      <c r="G36" s="4" t="str">
        <f t="shared" ref="G36:G53" si="7">IF(E36=6,IF(F36="医科","1310"&amp;D36,"1330"&amp;D36),IF(F36="医科","131"&amp;D36,"133"&amp;D36))</f>
        <v>1312971083</v>
      </c>
      <c r="H36" s="4" t="str">
        <f t="shared" ref="H36:H53" si="8">IF(G36=G35,"二重","　")</f>
        <v>　</v>
      </c>
      <c r="I36" s="3">
        <f t="shared" ref="I36:I53" si="9">COUNTIF($D$4:$D$50,D36)</f>
        <v>9</v>
      </c>
      <c r="J36" s="1" t="s">
        <v>191</v>
      </c>
      <c r="K36" s="1" t="s">
        <v>71</v>
      </c>
      <c r="L36" s="5" t="s">
        <v>31</v>
      </c>
      <c r="M36" s="1" t="s">
        <v>192</v>
      </c>
      <c r="N36" s="5" t="s">
        <v>193</v>
      </c>
      <c r="O36" s="1" t="s">
        <v>391</v>
      </c>
      <c r="P36" s="34" t="s">
        <v>194</v>
      </c>
      <c r="Q36" s="34" t="s">
        <v>418</v>
      </c>
      <c r="R36" s="5" t="s">
        <v>147</v>
      </c>
      <c r="S36" s="1" t="s">
        <v>274</v>
      </c>
      <c r="T36" s="26">
        <v>39009</v>
      </c>
      <c r="U36" s="62">
        <v>38808</v>
      </c>
      <c r="V36" s="26">
        <v>39083</v>
      </c>
      <c r="W36" s="13" t="s">
        <v>195</v>
      </c>
      <c r="X36" s="26">
        <v>45658</v>
      </c>
      <c r="Y36" s="66" t="s">
        <v>438</v>
      </c>
      <c r="Z36" s="66" t="s">
        <v>36</v>
      </c>
      <c r="AA36" s="3">
        <v>1</v>
      </c>
      <c r="AB36" s="3">
        <v>1</v>
      </c>
      <c r="AC36" s="3">
        <v>41901</v>
      </c>
      <c r="AD36" s="3"/>
      <c r="AE36" s="1" t="s">
        <v>196</v>
      </c>
      <c r="AF36" s="1" t="s">
        <v>197</v>
      </c>
      <c r="AG36" s="1" t="s">
        <v>228</v>
      </c>
      <c r="AH36" s="1" t="s">
        <v>273</v>
      </c>
      <c r="AI36" s="12" t="s">
        <v>416</v>
      </c>
      <c r="AJ36" s="10"/>
      <c r="AK36" s="75"/>
      <c r="AL36" s="75"/>
    </row>
    <row r="37" spans="1:38" ht="94.5" x14ac:dyDescent="0.15">
      <c r="A37" s="2" t="s">
        <v>190</v>
      </c>
      <c r="B37" s="1"/>
      <c r="C37" s="13"/>
      <c r="D37" s="4">
        <v>2971083</v>
      </c>
      <c r="E37" s="3">
        <f t="shared" si="5"/>
        <v>7</v>
      </c>
      <c r="F37" s="4" t="str">
        <f t="shared" si="6"/>
        <v>医科</v>
      </c>
      <c r="G37" s="4" t="str">
        <f t="shared" si="7"/>
        <v>1312971083</v>
      </c>
      <c r="H37" s="4" t="str">
        <f t="shared" si="8"/>
        <v>二重</v>
      </c>
      <c r="I37" s="3">
        <f t="shared" si="9"/>
        <v>9</v>
      </c>
      <c r="J37" s="1" t="s">
        <v>191</v>
      </c>
      <c r="K37" s="1" t="s">
        <v>71</v>
      </c>
      <c r="L37" s="5" t="s">
        <v>158</v>
      </c>
      <c r="M37" s="1" t="s">
        <v>198</v>
      </c>
      <c r="N37" s="5" t="s">
        <v>193</v>
      </c>
      <c r="O37" s="1" t="s">
        <v>391</v>
      </c>
      <c r="P37" s="34" t="s">
        <v>194</v>
      </c>
      <c r="Q37" s="34" t="s">
        <v>417</v>
      </c>
      <c r="R37" s="5" t="s">
        <v>151</v>
      </c>
      <c r="S37" s="1" t="s">
        <v>400</v>
      </c>
      <c r="T37" s="13"/>
      <c r="U37" s="62">
        <v>38899</v>
      </c>
      <c r="V37" s="26">
        <v>38899</v>
      </c>
      <c r="W37" s="13" t="s">
        <v>199</v>
      </c>
      <c r="X37" s="26">
        <v>45474</v>
      </c>
      <c r="Y37" s="13" t="s">
        <v>401</v>
      </c>
      <c r="Z37" s="66" t="s">
        <v>36</v>
      </c>
      <c r="AA37" s="3">
        <v>1</v>
      </c>
      <c r="AB37" s="3">
        <v>1</v>
      </c>
      <c r="AC37" s="11">
        <v>41807</v>
      </c>
      <c r="AD37" s="3"/>
      <c r="AE37" s="1" t="s">
        <v>200</v>
      </c>
      <c r="AF37" s="1" t="s">
        <v>201</v>
      </c>
      <c r="AG37" s="28" t="s">
        <v>408</v>
      </c>
      <c r="AH37" s="1" t="s">
        <v>405</v>
      </c>
      <c r="AI37" s="10"/>
      <c r="AJ37" s="10"/>
      <c r="AK37" s="75"/>
      <c r="AL37" s="75"/>
    </row>
    <row r="38" spans="1:38" ht="67.5" x14ac:dyDescent="0.15">
      <c r="A38" s="2" t="s">
        <v>190</v>
      </c>
      <c r="B38" s="1"/>
      <c r="C38" s="13"/>
      <c r="D38" s="4">
        <v>2971083</v>
      </c>
      <c r="E38" s="3">
        <f t="shared" si="5"/>
        <v>7</v>
      </c>
      <c r="F38" s="4" t="str">
        <f t="shared" si="6"/>
        <v>医科</v>
      </c>
      <c r="G38" s="4" t="str">
        <f t="shared" si="7"/>
        <v>1312971083</v>
      </c>
      <c r="H38" s="4" t="str">
        <f t="shared" si="8"/>
        <v>二重</v>
      </c>
      <c r="I38" s="3">
        <f t="shared" si="9"/>
        <v>9</v>
      </c>
      <c r="J38" s="1" t="s">
        <v>191</v>
      </c>
      <c r="K38" s="1" t="s">
        <v>71</v>
      </c>
      <c r="L38" s="5" t="s">
        <v>31</v>
      </c>
      <c r="M38" s="1" t="s">
        <v>192</v>
      </c>
      <c r="N38" s="5" t="s">
        <v>193</v>
      </c>
      <c r="O38" s="1" t="s">
        <v>391</v>
      </c>
      <c r="P38" s="34" t="s">
        <v>194</v>
      </c>
      <c r="Q38" s="34" t="s">
        <v>418</v>
      </c>
      <c r="R38" s="5" t="s">
        <v>155</v>
      </c>
      <c r="S38" s="72" t="s">
        <v>447</v>
      </c>
      <c r="T38" s="26">
        <v>39009</v>
      </c>
      <c r="U38" s="62">
        <v>38808</v>
      </c>
      <c r="V38" s="26">
        <v>39083</v>
      </c>
      <c r="W38" s="13" t="s">
        <v>195</v>
      </c>
      <c r="X38" s="26">
        <v>45658</v>
      </c>
      <c r="Y38" s="66" t="s">
        <v>439</v>
      </c>
      <c r="Z38" s="66" t="s">
        <v>36</v>
      </c>
      <c r="AA38" s="3">
        <v>1</v>
      </c>
      <c r="AB38" s="3">
        <v>1</v>
      </c>
      <c r="AC38" s="11">
        <v>41901</v>
      </c>
      <c r="AD38" s="3"/>
      <c r="AE38" s="12" t="s">
        <v>416</v>
      </c>
      <c r="AF38" s="1" t="s">
        <v>420</v>
      </c>
      <c r="AG38" s="1"/>
      <c r="AH38" s="3"/>
      <c r="AI38" s="10"/>
      <c r="AJ38" s="10"/>
      <c r="AK38" s="75"/>
      <c r="AL38" s="75"/>
    </row>
    <row r="39" spans="1:38" ht="67.5" x14ac:dyDescent="0.15">
      <c r="A39" s="2" t="s">
        <v>190</v>
      </c>
      <c r="B39" s="1"/>
      <c r="C39" s="13"/>
      <c r="D39" s="4">
        <v>2971083</v>
      </c>
      <c r="E39" s="3">
        <f t="shared" si="5"/>
        <v>7</v>
      </c>
      <c r="F39" s="4" t="str">
        <f t="shared" si="6"/>
        <v>医科</v>
      </c>
      <c r="G39" s="4" t="str">
        <f t="shared" si="7"/>
        <v>1312971083</v>
      </c>
      <c r="H39" s="4" t="str">
        <f t="shared" si="8"/>
        <v>二重</v>
      </c>
      <c r="I39" s="3">
        <f t="shared" si="9"/>
        <v>9</v>
      </c>
      <c r="J39" s="1" t="s">
        <v>191</v>
      </c>
      <c r="K39" s="1" t="s">
        <v>71</v>
      </c>
      <c r="L39" s="5" t="s">
        <v>31</v>
      </c>
      <c r="M39" s="1" t="s">
        <v>192</v>
      </c>
      <c r="N39" s="5" t="s">
        <v>193</v>
      </c>
      <c r="O39" s="1" t="s">
        <v>391</v>
      </c>
      <c r="P39" s="34" t="s">
        <v>194</v>
      </c>
      <c r="Q39" s="34" t="s">
        <v>418</v>
      </c>
      <c r="R39" s="5" t="s">
        <v>97</v>
      </c>
      <c r="S39" s="17" t="s">
        <v>448</v>
      </c>
      <c r="T39" s="26">
        <v>39009</v>
      </c>
      <c r="U39" s="62">
        <v>38808</v>
      </c>
      <c r="V39" s="26">
        <v>39083</v>
      </c>
      <c r="W39" s="13" t="s">
        <v>195</v>
      </c>
      <c r="X39" s="26">
        <v>45658</v>
      </c>
      <c r="Y39" s="66" t="s">
        <v>440</v>
      </c>
      <c r="Z39" s="66" t="s">
        <v>36</v>
      </c>
      <c r="AA39" s="3">
        <v>1</v>
      </c>
      <c r="AB39" s="3">
        <v>1</v>
      </c>
      <c r="AC39" s="11">
        <v>41901</v>
      </c>
      <c r="AD39" s="3"/>
      <c r="AE39" s="1" t="s">
        <v>202</v>
      </c>
      <c r="AF39" s="1" t="s">
        <v>203</v>
      </c>
      <c r="AG39" s="1" t="s">
        <v>204</v>
      </c>
      <c r="AH39" s="1" t="s">
        <v>229</v>
      </c>
      <c r="AI39" s="12" t="s">
        <v>416</v>
      </c>
      <c r="AJ39" s="12" t="s">
        <v>421</v>
      </c>
      <c r="AK39" s="75"/>
      <c r="AL39" s="75"/>
    </row>
    <row r="40" spans="1:38" ht="67.5" x14ac:dyDescent="0.15">
      <c r="A40" s="2" t="s">
        <v>190</v>
      </c>
      <c r="B40" s="1"/>
      <c r="C40" s="13"/>
      <c r="D40" s="4">
        <v>2971083</v>
      </c>
      <c r="E40" s="3">
        <f t="shared" si="5"/>
        <v>7</v>
      </c>
      <c r="F40" s="4" t="str">
        <f t="shared" si="6"/>
        <v>医科</v>
      </c>
      <c r="G40" s="4" t="str">
        <f t="shared" si="7"/>
        <v>1312971083</v>
      </c>
      <c r="H40" s="4" t="str">
        <f t="shared" si="8"/>
        <v>二重</v>
      </c>
      <c r="I40" s="3">
        <f t="shared" si="9"/>
        <v>9</v>
      </c>
      <c r="J40" s="1" t="s">
        <v>191</v>
      </c>
      <c r="K40" s="1" t="s">
        <v>71</v>
      </c>
      <c r="L40" s="5" t="s">
        <v>31</v>
      </c>
      <c r="M40" s="1" t="s">
        <v>192</v>
      </c>
      <c r="N40" s="5" t="s">
        <v>193</v>
      </c>
      <c r="O40" s="1" t="s">
        <v>391</v>
      </c>
      <c r="P40" s="34" t="s">
        <v>194</v>
      </c>
      <c r="Q40" s="34" t="s">
        <v>418</v>
      </c>
      <c r="R40" s="5" t="s">
        <v>88</v>
      </c>
      <c r="S40" s="1" t="s">
        <v>449</v>
      </c>
      <c r="T40" s="26">
        <v>39009</v>
      </c>
      <c r="U40" s="62">
        <v>38808</v>
      </c>
      <c r="V40" s="26">
        <v>39083</v>
      </c>
      <c r="W40" s="13" t="s">
        <v>195</v>
      </c>
      <c r="X40" s="26">
        <v>45658</v>
      </c>
      <c r="Y40" s="66" t="s">
        <v>441</v>
      </c>
      <c r="Z40" s="66" t="s">
        <v>36</v>
      </c>
      <c r="AA40" s="3">
        <v>1</v>
      </c>
      <c r="AB40" s="3">
        <v>1</v>
      </c>
      <c r="AC40" s="11">
        <v>41901</v>
      </c>
      <c r="AD40" s="3"/>
      <c r="AE40" s="1" t="s">
        <v>205</v>
      </c>
      <c r="AF40" s="12" t="s">
        <v>416</v>
      </c>
      <c r="AG40" s="1" t="s">
        <v>422</v>
      </c>
      <c r="AH40" s="3"/>
      <c r="AI40" s="12"/>
      <c r="AJ40" s="10"/>
      <c r="AK40" s="75"/>
      <c r="AL40" s="75"/>
    </row>
    <row r="41" spans="1:38" ht="81" x14ac:dyDescent="0.15">
      <c r="A41" s="2" t="s">
        <v>190</v>
      </c>
      <c r="B41" s="1"/>
      <c r="C41" s="13"/>
      <c r="D41" s="4">
        <v>2971083</v>
      </c>
      <c r="E41" s="3">
        <f t="shared" si="5"/>
        <v>7</v>
      </c>
      <c r="F41" s="4" t="str">
        <f t="shared" si="6"/>
        <v>医科</v>
      </c>
      <c r="G41" s="4" t="str">
        <f t="shared" si="7"/>
        <v>1312971083</v>
      </c>
      <c r="H41" s="4" t="str">
        <f t="shared" si="8"/>
        <v>二重</v>
      </c>
      <c r="I41" s="3">
        <f t="shared" si="9"/>
        <v>9</v>
      </c>
      <c r="J41" s="1" t="s">
        <v>191</v>
      </c>
      <c r="K41" s="1" t="s">
        <v>71</v>
      </c>
      <c r="L41" s="5" t="s">
        <v>158</v>
      </c>
      <c r="M41" s="1" t="s">
        <v>198</v>
      </c>
      <c r="N41" s="5" t="s">
        <v>193</v>
      </c>
      <c r="O41" s="1" t="s">
        <v>391</v>
      </c>
      <c r="P41" s="34" t="s">
        <v>194</v>
      </c>
      <c r="Q41" s="34" t="s">
        <v>398</v>
      </c>
      <c r="R41" s="5" t="s">
        <v>125</v>
      </c>
      <c r="S41" s="1" t="s">
        <v>206</v>
      </c>
      <c r="T41" s="13"/>
      <c r="U41" s="62">
        <v>38899</v>
      </c>
      <c r="V41" s="26">
        <v>38899</v>
      </c>
      <c r="W41" s="13" t="s">
        <v>199</v>
      </c>
      <c r="X41" s="26">
        <v>45474</v>
      </c>
      <c r="Y41" s="13" t="s">
        <v>403</v>
      </c>
      <c r="Z41" s="66" t="s">
        <v>36</v>
      </c>
      <c r="AA41" s="3">
        <v>1</v>
      </c>
      <c r="AB41" s="3">
        <v>1</v>
      </c>
      <c r="AC41" s="11">
        <v>41807</v>
      </c>
      <c r="AD41" s="3"/>
      <c r="AE41" s="28" t="s">
        <v>399</v>
      </c>
      <c r="AF41" s="1"/>
      <c r="AG41" s="1"/>
      <c r="AH41" s="3"/>
      <c r="AI41" s="10"/>
      <c r="AJ41" s="10"/>
      <c r="AK41" s="75"/>
      <c r="AL41" s="75"/>
    </row>
    <row r="42" spans="1:38" ht="67.5" x14ac:dyDescent="0.15">
      <c r="A42" s="2" t="s">
        <v>190</v>
      </c>
      <c r="B42" s="1"/>
      <c r="C42" s="13"/>
      <c r="D42" s="4">
        <v>2971083</v>
      </c>
      <c r="E42" s="3">
        <f t="shared" si="5"/>
        <v>7</v>
      </c>
      <c r="F42" s="4" t="str">
        <f t="shared" si="6"/>
        <v>医科</v>
      </c>
      <c r="G42" s="4" t="str">
        <f t="shared" si="7"/>
        <v>1312971083</v>
      </c>
      <c r="H42" s="4" t="str">
        <f t="shared" si="8"/>
        <v>二重</v>
      </c>
      <c r="I42" s="3">
        <f t="shared" si="9"/>
        <v>9</v>
      </c>
      <c r="J42" s="1" t="s">
        <v>191</v>
      </c>
      <c r="K42" s="1" t="s">
        <v>71</v>
      </c>
      <c r="L42" s="5" t="s">
        <v>31</v>
      </c>
      <c r="M42" s="1" t="s">
        <v>192</v>
      </c>
      <c r="N42" s="5" t="s">
        <v>193</v>
      </c>
      <c r="O42" s="1" t="s">
        <v>391</v>
      </c>
      <c r="P42" s="34" t="s">
        <v>194</v>
      </c>
      <c r="Q42" s="34" t="s">
        <v>418</v>
      </c>
      <c r="R42" s="5" t="s">
        <v>159</v>
      </c>
      <c r="S42" s="1" t="s">
        <v>450</v>
      </c>
      <c r="T42" s="26">
        <v>39009</v>
      </c>
      <c r="U42" s="62">
        <v>38808</v>
      </c>
      <c r="V42" s="26">
        <v>39083</v>
      </c>
      <c r="W42" s="13" t="s">
        <v>195</v>
      </c>
      <c r="X42" s="26">
        <v>45658</v>
      </c>
      <c r="Y42" s="66" t="s">
        <v>442</v>
      </c>
      <c r="Z42" s="66" t="s">
        <v>36</v>
      </c>
      <c r="AA42" s="3">
        <v>1</v>
      </c>
      <c r="AB42" s="3">
        <v>1</v>
      </c>
      <c r="AC42" s="11">
        <v>41901</v>
      </c>
      <c r="AD42" s="3"/>
      <c r="AE42" s="12" t="s">
        <v>416</v>
      </c>
      <c r="AF42" s="1" t="s">
        <v>423</v>
      </c>
      <c r="AG42" s="1"/>
      <c r="AH42" s="3"/>
      <c r="AI42" s="10"/>
      <c r="AJ42" s="10"/>
      <c r="AK42" s="75"/>
      <c r="AL42" s="75"/>
    </row>
    <row r="43" spans="1:38" ht="67.5" x14ac:dyDescent="0.15">
      <c r="A43" s="2" t="s">
        <v>190</v>
      </c>
      <c r="B43" s="1"/>
      <c r="C43" s="13"/>
      <c r="D43" s="4">
        <v>2971083</v>
      </c>
      <c r="E43" s="3">
        <f t="shared" si="5"/>
        <v>7</v>
      </c>
      <c r="F43" s="4" t="str">
        <f t="shared" si="6"/>
        <v>医科</v>
      </c>
      <c r="G43" s="4" t="str">
        <f t="shared" si="7"/>
        <v>1312971083</v>
      </c>
      <c r="H43" s="4" t="str">
        <f t="shared" si="8"/>
        <v>二重</v>
      </c>
      <c r="I43" s="3">
        <f t="shared" si="9"/>
        <v>9</v>
      </c>
      <c r="J43" s="1" t="s">
        <v>191</v>
      </c>
      <c r="K43" s="1" t="s">
        <v>71</v>
      </c>
      <c r="L43" s="5" t="s">
        <v>158</v>
      </c>
      <c r="M43" s="1" t="s">
        <v>198</v>
      </c>
      <c r="N43" s="5" t="s">
        <v>193</v>
      </c>
      <c r="O43" s="1" t="s">
        <v>391</v>
      </c>
      <c r="P43" s="34" t="s">
        <v>194</v>
      </c>
      <c r="Q43" s="34" t="s">
        <v>398</v>
      </c>
      <c r="R43" s="5" t="s">
        <v>161</v>
      </c>
      <c r="S43" s="1" t="s">
        <v>470</v>
      </c>
      <c r="T43" s="13"/>
      <c r="U43" s="62">
        <v>38899</v>
      </c>
      <c r="V43" s="26">
        <v>38899</v>
      </c>
      <c r="W43" s="13" t="s">
        <v>199</v>
      </c>
      <c r="X43" s="26">
        <v>45474</v>
      </c>
      <c r="Y43" s="44" t="s">
        <v>402</v>
      </c>
      <c r="Z43" s="66" t="s">
        <v>36</v>
      </c>
      <c r="AA43" s="3">
        <v>1</v>
      </c>
      <c r="AB43" s="3">
        <v>1</v>
      </c>
      <c r="AC43" s="3">
        <v>41807</v>
      </c>
      <c r="AD43" s="3"/>
      <c r="AE43" s="1" t="s">
        <v>207</v>
      </c>
      <c r="AF43" s="28" t="s">
        <v>407</v>
      </c>
      <c r="AG43" s="1" t="s">
        <v>406</v>
      </c>
      <c r="AH43" s="1" t="s">
        <v>472</v>
      </c>
      <c r="AI43" s="10"/>
      <c r="AJ43" s="10"/>
      <c r="AK43" s="75"/>
      <c r="AL43" s="75"/>
    </row>
    <row r="44" spans="1:38" ht="67.5" x14ac:dyDescent="0.15">
      <c r="A44" s="2" t="s">
        <v>190</v>
      </c>
      <c r="B44" s="1"/>
      <c r="C44" s="13"/>
      <c r="D44" s="4">
        <v>2971083</v>
      </c>
      <c r="E44" s="3">
        <f t="shared" si="5"/>
        <v>7</v>
      </c>
      <c r="F44" s="4" t="str">
        <f t="shared" si="6"/>
        <v>医科</v>
      </c>
      <c r="G44" s="4" t="str">
        <f t="shared" si="7"/>
        <v>1312971083</v>
      </c>
      <c r="H44" s="4" t="str">
        <f t="shared" si="8"/>
        <v>二重</v>
      </c>
      <c r="I44" s="3">
        <f t="shared" si="9"/>
        <v>9</v>
      </c>
      <c r="J44" s="1" t="s">
        <v>191</v>
      </c>
      <c r="K44" s="1" t="s">
        <v>71</v>
      </c>
      <c r="L44" s="5" t="s">
        <v>31</v>
      </c>
      <c r="M44" s="1" t="s">
        <v>192</v>
      </c>
      <c r="N44" s="5" t="s">
        <v>193</v>
      </c>
      <c r="O44" s="1" t="s">
        <v>391</v>
      </c>
      <c r="P44" s="34" t="s">
        <v>194</v>
      </c>
      <c r="Q44" s="34" t="s">
        <v>418</v>
      </c>
      <c r="R44" s="5" t="s">
        <v>34</v>
      </c>
      <c r="S44" s="17" t="s">
        <v>471</v>
      </c>
      <c r="T44" s="26">
        <v>39009</v>
      </c>
      <c r="U44" s="62">
        <v>38808</v>
      </c>
      <c r="V44" s="26">
        <v>39083</v>
      </c>
      <c r="W44" s="13" t="s">
        <v>90</v>
      </c>
      <c r="X44" s="26">
        <v>45658</v>
      </c>
      <c r="Y44" s="66" t="s">
        <v>443</v>
      </c>
      <c r="Z44" s="66" t="s">
        <v>36</v>
      </c>
      <c r="AA44" s="3">
        <v>1</v>
      </c>
      <c r="AB44" s="3">
        <v>1</v>
      </c>
      <c r="AC44" s="11">
        <v>41901</v>
      </c>
      <c r="AD44" s="3"/>
      <c r="AE44" s="1" t="s">
        <v>208</v>
      </c>
      <c r="AF44" s="1" t="s">
        <v>209</v>
      </c>
      <c r="AG44" s="1" t="s">
        <v>416</v>
      </c>
      <c r="AH44" s="1" t="s">
        <v>473</v>
      </c>
      <c r="AI44" s="10"/>
      <c r="AJ44" s="10"/>
      <c r="AK44" s="75"/>
      <c r="AL44" s="75"/>
    </row>
    <row r="45" spans="1:38" ht="54" x14ac:dyDescent="0.15">
      <c r="A45" s="2" t="s">
        <v>210</v>
      </c>
      <c r="B45" s="3"/>
      <c r="C45" s="13"/>
      <c r="D45" s="4">
        <v>2971141</v>
      </c>
      <c r="E45" s="3">
        <f t="shared" si="5"/>
        <v>7</v>
      </c>
      <c r="F45" s="4" t="str">
        <f t="shared" si="6"/>
        <v>医科</v>
      </c>
      <c r="G45" s="4" t="str">
        <f t="shared" si="7"/>
        <v>1312971141</v>
      </c>
      <c r="H45" s="4" t="str">
        <f t="shared" si="8"/>
        <v>　</v>
      </c>
      <c r="I45" s="3">
        <f t="shared" si="9"/>
        <v>2</v>
      </c>
      <c r="J45" s="1" t="s">
        <v>211</v>
      </c>
      <c r="K45" s="1" t="s">
        <v>85</v>
      </c>
      <c r="L45" s="5" t="s">
        <v>31</v>
      </c>
      <c r="M45" s="1" t="s">
        <v>212</v>
      </c>
      <c r="N45" s="5" t="s">
        <v>213</v>
      </c>
      <c r="O45" s="1" t="s">
        <v>385</v>
      </c>
      <c r="P45" s="34" t="s">
        <v>85</v>
      </c>
      <c r="Q45" s="34" t="s">
        <v>214</v>
      </c>
      <c r="R45" s="5" t="s">
        <v>97</v>
      </c>
      <c r="S45" s="3" t="s">
        <v>297</v>
      </c>
      <c r="T45" s="26">
        <v>38992</v>
      </c>
      <c r="U45" s="62">
        <v>38808</v>
      </c>
      <c r="V45" s="26">
        <v>39083</v>
      </c>
      <c r="W45" s="13" t="s">
        <v>90</v>
      </c>
      <c r="X45" s="26">
        <v>45658</v>
      </c>
      <c r="Y45" s="66" t="s">
        <v>444</v>
      </c>
      <c r="Z45" s="66" t="s">
        <v>36</v>
      </c>
      <c r="AA45" s="3">
        <v>1</v>
      </c>
      <c r="AB45" s="3">
        <v>1</v>
      </c>
      <c r="AC45" s="3">
        <v>41901</v>
      </c>
      <c r="AD45" s="3"/>
      <c r="AE45" s="1" t="s">
        <v>215</v>
      </c>
      <c r="AF45" s="1" t="s">
        <v>296</v>
      </c>
      <c r="AG45" s="1"/>
      <c r="AH45" s="3"/>
      <c r="AI45" s="10"/>
      <c r="AJ45" s="10"/>
      <c r="AK45" s="75"/>
      <c r="AL45" s="75"/>
    </row>
    <row r="46" spans="1:38" ht="54" x14ac:dyDescent="0.15">
      <c r="A46" s="2" t="s">
        <v>210</v>
      </c>
      <c r="B46" s="3"/>
      <c r="C46" s="13"/>
      <c r="D46" s="4">
        <v>2971141</v>
      </c>
      <c r="E46" s="3">
        <f t="shared" si="5"/>
        <v>7</v>
      </c>
      <c r="F46" s="4" t="str">
        <f t="shared" si="6"/>
        <v>医科</v>
      </c>
      <c r="G46" s="4" t="str">
        <f t="shared" si="7"/>
        <v>1312971141</v>
      </c>
      <c r="H46" s="4" t="str">
        <f t="shared" si="8"/>
        <v>二重</v>
      </c>
      <c r="I46" s="3">
        <f t="shared" si="9"/>
        <v>2</v>
      </c>
      <c r="J46" s="1" t="s">
        <v>211</v>
      </c>
      <c r="K46" s="1" t="s">
        <v>85</v>
      </c>
      <c r="L46" s="5" t="s">
        <v>31</v>
      </c>
      <c r="M46" s="1" t="s">
        <v>212</v>
      </c>
      <c r="N46" s="5" t="s">
        <v>213</v>
      </c>
      <c r="O46" s="1" t="s">
        <v>385</v>
      </c>
      <c r="P46" s="34" t="s">
        <v>85</v>
      </c>
      <c r="Q46" s="34" t="s">
        <v>214</v>
      </c>
      <c r="R46" s="5" t="s">
        <v>88</v>
      </c>
      <c r="S46" s="3" t="s">
        <v>216</v>
      </c>
      <c r="T46" s="26">
        <v>38992</v>
      </c>
      <c r="U46" s="62">
        <v>38808</v>
      </c>
      <c r="V46" s="26">
        <v>39083</v>
      </c>
      <c r="W46" s="13" t="s">
        <v>90</v>
      </c>
      <c r="X46" s="26">
        <v>45658</v>
      </c>
      <c r="Y46" s="66" t="s">
        <v>445</v>
      </c>
      <c r="Z46" s="66" t="s">
        <v>36</v>
      </c>
      <c r="AA46" s="3">
        <v>1</v>
      </c>
      <c r="AB46" s="3">
        <v>1</v>
      </c>
      <c r="AC46" s="11">
        <v>41901</v>
      </c>
      <c r="AD46" s="3"/>
      <c r="AE46" s="1" t="s">
        <v>215</v>
      </c>
      <c r="AF46" s="1"/>
      <c r="AG46" s="1"/>
      <c r="AH46" s="3"/>
      <c r="AI46" s="10"/>
      <c r="AJ46" s="10"/>
      <c r="AK46" s="75"/>
      <c r="AL46" s="75"/>
    </row>
    <row r="47" spans="1:38" ht="81" x14ac:dyDescent="0.15">
      <c r="A47" s="2" t="s">
        <v>245</v>
      </c>
      <c r="B47" s="3"/>
      <c r="C47" s="13"/>
      <c r="D47" s="4">
        <v>2971158</v>
      </c>
      <c r="E47" s="3">
        <f t="shared" si="5"/>
        <v>7</v>
      </c>
      <c r="F47" s="4" t="str">
        <f t="shared" si="6"/>
        <v>医科</v>
      </c>
      <c r="G47" s="4" t="str">
        <f t="shared" si="7"/>
        <v>1312971158</v>
      </c>
      <c r="H47" s="4" t="str">
        <f t="shared" si="8"/>
        <v>　</v>
      </c>
      <c r="I47" s="3">
        <f t="shared" si="9"/>
        <v>1</v>
      </c>
      <c r="J47" s="1" t="s">
        <v>217</v>
      </c>
      <c r="K47" s="1" t="s">
        <v>218</v>
      </c>
      <c r="L47" s="5" t="s">
        <v>31</v>
      </c>
      <c r="M47" s="1" t="s">
        <v>219</v>
      </c>
      <c r="N47" s="5" t="s">
        <v>220</v>
      </c>
      <c r="O47" s="1" t="s">
        <v>221</v>
      </c>
      <c r="P47" s="34" t="s">
        <v>222</v>
      </c>
      <c r="Q47" s="34" t="s">
        <v>223</v>
      </c>
      <c r="R47" s="5" t="s">
        <v>34</v>
      </c>
      <c r="S47" s="3" t="s">
        <v>246</v>
      </c>
      <c r="T47" s="26">
        <v>39016</v>
      </c>
      <c r="U47" s="62">
        <v>38808</v>
      </c>
      <c r="V47" s="26">
        <v>39083</v>
      </c>
      <c r="W47" s="13" t="s">
        <v>90</v>
      </c>
      <c r="X47" s="26">
        <v>45658</v>
      </c>
      <c r="Y47" s="66" t="s">
        <v>446</v>
      </c>
      <c r="Z47" s="66" t="s">
        <v>36</v>
      </c>
      <c r="AA47" s="3">
        <v>1</v>
      </c>
      <c r="AB47" s="3">
        <v>1</v>
      </c>
      <c r="AC47" s="11">
        <v>41901</v>
      </c>
      <c r="AD47" s="3"/>
      <c r="AE47" s="1" t="s">
        <v>224</v>
      </c>
      <c r="AF47" s="1" t="s">
        <v>225</v>
      </c>
      <c r="AG47" s="1" t="s">
        <v>226</v>
      </c>
      <c r="AH47" s="1" t="s">
        <v>227</v>
      </c>
      <c r="AI47" s="1" t="s">
        <v>247</v>
      </c>
      <c r="AJ47" s="10"/>
      <c r="AK47" s="75"/>
      <c r="AL47" s="75"/>
    </row>
    <row r="48" spans="1:38" s="30" customFormat="1" ht="40.5" x14ac:dyDescent="0.15">
      <c r="A48" s="31" t="s">
        <v>230</v>
      </c>
      <c r="B48" s="31"/>
      <c r="C48" s="47"/>
      <c r="D48" s="31">
        <v>2971018</v>
      </c>
      <c r="E48" s="3">
        <f t="shared" si="5"/>
        <v>7</v>
      </c>
      <c r="F48" s="4" t="str">
        <f t="shared" si="6"/>
        <v>医科</v>
      </c>
      <c r="G48" s="4" t="str">
        <f t="shared" si="7"/>
        <v>1312971018</v>
      </c>
      <c r="H48" s="4" t="str">
        <f t="shared" si="8"/>
        <v>　</v>
      </c>
      <c r="I48" s="3">
        <f t="shared" si="9"/>
        <v>1</v>
      </c>
      <c r="J48" s="28" t="s">
        <v>231</v>
      </c>
      <c r="K48" s="28" t="s">
        <v>232</v>
      </c>
      <c r="L48" s="28" t="s">
        <v>31</v>
      </c>
      <c r="M48" s="28" t="s">
        <v>233</v>
      </c>
      <c r="N48" s="28" t="s">
        <v>234</v>
      </c>
      <c r="O48" s="28" t="s">
        <v>392</v>
      </c>
      <c r="P48" s="50" t="s">
        <v>232</v>
      </c>
      <c r="Q48" s="50" t="s">
        <v>233</v>
      </c>
      <c r="R48" s="31" t="s">
        <v>34</v>
      </c>
      <c r="S48" s="31" t="s">
        <v>235</v>
      </c>
      <c r="T48" s="26">
        <v>42241</v>
      </c>
      <c r="U48" s="62">
        <v>42278</v>
      </c>
      <c r="V48" s="26">
        <v>42278</v>
      </c>
      <c r="W48" s="47" t="s">
        <v>236</v>
      </c>
      <c r="X48" s="33">
        <v>44470</v>
      </c>
      <c r="Y48" s="46" t="s">
        <v>322</v>
      </c>
      <c r="Z48" s="47" t="s">
        <v>10</v>
      </c>
      <c r="AA48" s="31"/>
      <c r="AB48" s="31">
        <v>1</v>
      </c>
      <c r="AC48" s="31">
        <v>42710</v>
      </c>
      <c r="AD48" s="31"/>
      <c r="AE48" s="1" t="s">
        <v>321</v>
      </c>
      <c r="AF48" s="31"/>
      <c r="AG48" s="31"/>
      <c r="AH48" s="31"/>
      <c r="AI48" s="31"/>
      <c r="AJ48" s="81"/>
      <c r="AK48" s="31"/>
      <c r="AL48" s="31"/>
    </row>
    <row r="49" spans="1:38" ht="108" x14ac:dyDescent="0.15">
      <c r="A49" s="2" t="s">
        <v>239</v>
      </c>
      <c r="B49" s="1" t="s">
        <v>505</v>
      </c>
      <c r="C49" s="47"/>
      <c r="D49" s="31">
        <v>2930956</v>
      </c>
      <c r="E49" s="3">
        <f t="shared" si="5"/>
        <v>7</v>
      </c>
      <c r="F49" s="4" t="str">
        <f t="shared" si="6"/>
        <v>医科</v>
      </c>
      <c r="G49" s="4" t="str">
        <f t="shared" si="7"/>
        <v>1312930956</v>
      </c>
      <c r="H49" s="4" t="str">
        <f t="shared" si="8"/>
        <v>　</v>
      </c>
      <c r="I49" s="3">
        <f t="shared" si="9"/>
        <v>1</v>
      </c>
      <c r="J49" s="28" t="s">
        <v>240</v>
      </c>
      <c r="K49" s="28" t="s">
        <v>265</v>
      </c>
      <c r="L49" s="28" t="s">
        <v>31</v>
      </c>
      <c r="M49" s="28" t="s">
        <v>241</v>
      </c>
      <c r="N49" s="28" t="s">
        <v>242</v>
      </c>
      <c r="O49" s="28" t="s">
        <v>490</v>
      </c>
      <c r="P49" s="50" t="s">
        <v>491</v>
      </c>
      <c r="Q49" s="29" t="s">
        <v>492</v>
      </c>
      <c r="R49" s="31" t="s">
        <v>243</v>
      </c>
      <c r="S49" s="31" t="s">
        <v>509</v>
      </c>
      <c r="T49" s="33">
        <v>42513</v>
      </c>
      <c r="U49" s="62">
        <v>42552</v>
      </c>
      <c r="V49" s="26">
        <v>42552</v>
      </c>
      <c r="W49" s="47" t="s">
        <v>244</v>
      </c>
      <c r="X49" s="33">
        <v>44743</v>
      </c>
      <c r="Y49" s="46" t="s">
        <v>348</v>
      </c>
      <c r="Z49" s="47" t="s">
        <v>10</v>
      </c>
      <c r="AA49" s="31"/>
      <c r="AB49" s="31">
        <v>1</v>
      </c>
      <c r="AC49" s="31">
        <v>42807</v>
      </c>
      <c r="AD49" s="31"/>
      <c r="AE49" s="1" t="s">
        <v>264</v>
      </c>
      <c r="AF49" s="1" t="s">
        <v>493</v>
      </c>
      <c r="AG49" s="28" t="s">
        <v>508</v>
      </c>
      <c r="AH49" s="31"/>
      <c r="AI49" s="31"/>
      <c r="AJ49" s="81"/>
      <c r="AK49" s="75"/>
      <c r="AL49" s="75"/>
    </row>
    <row r="50" spans="1:38" s="30" customFormat="1" ht="54" x14ac:dyDescent="0.15">
      <c r="A50" s="31" t="s">
        <v>248</v>
      </c>
      <c r="B50" s="43"/>
      <c r="C50" s="47"/>
      <c r="D50" s="31">
        <v>2947430</v>
      </c>
      <c r="E50" s="3">
        <f t="shared" si="5"/>
        <v>7</v>
      </c>
      <c r="F50" s="4" t="str">
        <f t="shared" si="6"/>
        <v>歯科</v>
      </c>
      <c r="G50" s="4" t="str">
        <f t="shared" si="7"/>
        <v>1332947430</v>
      </c>
      <c r="H50" s="4" t="str">
        <f t="shared" si="8"/>
        <v>　</v>
      </c>
      <c r="I50" s="3">
        <f t="shared" si="9"/>
        <v>1</v>
      </c>
      <c r="J50" s="28" t="s">
        <v>369</v>
      </c>
      <c r="K50" s="28" t="s">
        <v>249</v>
      </c>
      <c r="L50" s="28" t="s">
        <v>31</v>
      </c>
      <c r="M50" s="28" t="s">
        <v>250</v>
      </c>
      <c r="N50" s="28" t="s">
        <v>251</v>
      </c>
      <c r="O50" s="28" t="s">
        <v>252</v>
      </c>
      <c r="P50" s="50" t="s">
        <v>256</v>
      </c>
      <c r="Q50" s="29" t="s">
        <v>257</v>
      </c>
      <c r="R50" s="5" t="s">
        <v>133</v>
      </c>
      <c r="S50" s="31" t="s">
        <v>252</v>
      </c>
      <c r="T50" s="33">
        <v>42773</v>
      </c>
      <c r="U50" s="62">
        <v>42826</v>
      </c>
      <c r="V50" s="26">
        <v>42826</v>
      </c>
      <c r="W50" s="47" t="s">
        <v>253</v>
      </c>
      <c r="X50" s="60">
        <v>45017</v>
      </c>
      <c r="Y50" s="47" t="s">
        <v>375</v>
      </c>
      <c r="Z50" s="66" t="s">
        <v>36</v>
      </c>
      <c r="AA50" s="31">
        <v>1</v>
      </c>
      <c r="AB50" s="31">
        <v>1</v>
      </c>
      <c r="AC50" s="31">
        <v>42904</v>
      </c>
      <c r="AD50" s="31"/>
      <c r="AE50" s="28" t="s">
        <v>371</v>
      </c>
      <c r="AF50" s="31"/>
      <c r="AG50" s="31"/>
      <c r="AH50" s="31"/>
      <c r="AI50" s="31"/>
      <c r="AJ50" s="81"/>
      <c r="AK50" s="31"/>
      <c r="AL50" s="31"/>
    </row>
    <row r="51" spans="1:38" ht="67.5" x14ac:dyDescent="0.15">
      <c r="A51" s="31" t="s">
        <v>309</v>
      </c>
      <c r="B51" s="31"/>
      <c r="C51" s="47"/>
      <c r="D51" s="31">
        <v>2930477</v>
      </c>
      <c r="E51" s="3">
        <f t="shared" si="5"/>
        <v>7</v>
      </c>
      <c r="F51" s="4" t="str">
        <f t="shared" si="6"/>
        <v>医科</v>
      </c>
      <c r="G51" s="4" t="str">
        <f t="shared" si="7"/>
        <v>1312930477</v>
      </c>
      <c r="H51" s="4" t="str">
        <f t="shared" si="8"/>
        <v>　</v>
      </c>
      <c r="I51" s="3">
        <f t="shared" si="9"/>
        <v>0</v>
      </c>
      <c r="J51" s="28" t="s">
        <v>310</v>
      </c>
      <c r="K51" s="28" t="s">
        <v>283</v>
      </c>
      <c r="L51" s="28" t="s">
        <v>31</v>
      </c>
      <c r="M51" s="28" t="s">
        <v>311</v>
      </c>
      <c r="N51" s="28" t="s">
        <v>312</v>
      </c>
      <c r="O51" s="28" t="s">
        <v>393</v>
      </c>
      <c r="P51" s="50" t="s">
        <v>368</v>
      </c>
      <c r="Q51" s="29" t="s">
        <v>367</v>
      </c>
      <c r="R51" s="5" t="s">
        <v>313</v>
      </c>
      <c r="S51" s="28" t="s">
        <v>315</v>
      </c>
      <c r="T51" s="33">
        <v>44140</v>
      </c>
      <c r="U51" s="62">
        <v>43922</v>
      </c>
      <c r="V51" s="26">
        <v>43922</v>
      </c>
      <c r="W51" s="47" t="s">
        <v>314</v>
      </c>
      <c r="X51" s="60">
        <v>46113</v>
      </c>
      <c r="Y51" s="47" t="s">
        <v>481</v>
      </c>
      <c r="Z51" s="66" t="s">
        <v>36</v>
      </c>
      <c r="AA51" s="31">
        <v>1</v>
      </c>
      <c r="AB51" s="31">
        <v>1</v>
      </c>
      <c r="AC51" s="31">
        <v>50204</v>
      </c>
      <c r="AD51" s="31"/>
      <c r="AE51" s="28" t="s">
        <v>317</v>
      </c>
      <c r="AF51" s="28" t="s">
        <v>370</v>
      </c>
      <c r="AG51" s="31"/>
      <c r="AH51" s="31"/>
      <c r="AI51" s="31"/>
      <c r="AJ51" s="81"/>
      <c r="AK51" s="75"/>
      <c r="AL51" s="75"/>
    </row>
    <row r="52" spans="1:38" s="30" customFormat="1" ht="81" x14ac:dyDescent="0.15">
      <c r="A52" s="53" t="s">
        <v>325</v>
      </c>
      <c r="B52" s="43"/>
      <c r="C52" s="47"/>
      <c r="D52" s="31">
        <v>2930766</v>
      </c>
      <c r="E52" s="3">
        <f t="shared" si="5"/>
        <v>7</v>
      </c>
      <c r="F52" s="4" t="str">
        <f t="shared" si="6"/>
        <v>医科</v>
      </c>
      <c r="G52" s="4" t="str">
        <f t="shared" si="7"/>
        <v>1312930766</v>
      </c>
      <c r="H52" s="4" t="str">
        <f t="shared" si="8"/>
        <v>　</v>
      </c>
      <c r="I52" s="3">
        <f t="shared" si="9"/>
        <v>0</v>
      </c>
      <c r="J52" s="28" t="s">
        <v>327</v>
      </c>
      <c r="K52" s="28" t="s">
        <v>328</v>
      </c>
      <c r="L52" s="28" t="s">
        <v>31</v>
      </c>
      <c r="M52" s="28" t="s">
        <v>329</v>
      </c>
      <c r="N52" s="28" t="s">
        <v>330</v>
      </c>
      <c r="O52" s="28" t="s">
        <v>331</v>
      </c>
      <c r="P52" s="50" t="s">
        <v>332</v>
      </c>
      <c r="Q52" s="29" t="s">
        <v>333</v>
      </c>
      <c r="R52" s="5" t="s">
        <v>313</v>
      </c>
      <c r="S52" s="31" t="s">
        <v>345</v>
      </c>
      <c r="T52" s="33">
        <v>44586</v>
      </c>
      <c r="U52" s="62">
        <v>44652</v>
      </c>
      <c r="V52" s="62">
        <v>44652</v>
      </c>
      <c r="W52" s="47" t="s">
        <v>334</v>
      </c>
      <c r="X52" s="47"/>
      <c r="Y52" s="47"/>
      <c r="Z52" s="66" t="s">
        <v>335</v>
      </c>
      <c r="AA52" s="31"/>
      <c r="AB52" s="31">
        <v>1</v>
      </c>
      <c r="AC52" s="31">
        <v>50404</v>
      </c>
      <c r="AD52" s="31"/>
      <c r="AE52" s="28" t="s">
        <v>349</v>
      </c>
      <c r="AF52" s="12" t="s">
        <v>453</v>
      </c>
      <c r="AG52" s="31"/>
      <c r="AH52" s="31"/>
      <c r="AI52" s="31"/>
      <c r="AJ52" s="81"/>
      <c r="AK52" s="31"/>
      <c r="AL52" s="31"/>
    </row>
    <row r="53" spans="1:38" ht="27" x14ac:dyDescent="0.15">
      <c r="A53" s="53" t="s">
        <v>326</v>
      </c>
      <c r="B53" s="31"/>
      <c r="C53" s="13" t="s">
        <v>83</v>
      </c>
      <c r="D53" s="31">
        <v>2971265</v>
      </c>
      <c r="E53" s="58">
        <f t="shared" si="5"/>
        <v>7</v>
      </c>
      <c r="F53" s="59" t="str">
        <f t="shared" si="6"/>
        <v>医科</v>
      </c>
      <c r="G53" s="59" t="str">
        <f t="shared" si="7"/>
        <v>1312971265</v>
      </c>
      <c r="H53" s="59" t="str">
        <f t="shared" si="8"/>
        <v>　</v>
      </c>
      <c r="I53" s="58">
        <f t="shared" si="9"/>
        <v>0</v>
      </c>
      <c r="J53" s="78" t="s">
        <v>336</v>
      </c>
      <c r="K53" s="28" t="s">
        <v>281</v>
      </c>
      <c r="L53" s="28" t="s">
        <v>31</v>
      </c>
      <c r="M53" s="28" t="s">
        <v>337</v>
      </c>
      <c r="N53" s="28" t="s">
        <v>338</v>
      </c>
      <c r="O53" s="28" t="s">
        <v>339</v>
      </c>
      <c r="P53" s="50" t="s">
        <v>340</v>
      </c>
      <c r="Q53" s="29" t="s">
        <v>341</v>
      </c>
      <c r="R53" s="5" t="s">
        <v>313</v>
      </c>
      <c r="S53" s="28" t="s">
        <v>342</v>
      </c>
      <c r="T53" s="33">
        <v>44602</v>
      </c>
      <c r="U53" s="62">
        <v>44652</v>
      </c>
      <c r="V53" s="62">
        <v>44652</v>
      </c>
      <c r="W53" s="47" t="s">
        <v>343</v>
      </c>
      <c r="X53" s="47"/>
      <c r="Y53" s="47"/>
      <c r="Z53" s="66" t="s">
        <v>335</v>
      </c>
      <c r="AA53" s="31"/>
      <c r="AB53" s="31">
        <v>1</v>
      </c>
      <c r="AC53" s="31">
        <v>50404</v>
      </c>
      <c r="AD53" s="79">
        <v>50605</v>
      </c>
      <c r="AE53" s="28" t="s">
        <v>404</v>
      </c>
      <c r="AF53" s="31"/>
      <c r="AG53" s="31"/>
      <c r="AH53" s="31"/>
      <c r="AI53" s="31"/>
      <c r="AJ53" s="81"/>
      <c r="AK53" s="75"/>
      <c r="AL53" s="75"/>
    </row>
    <row r="54" spans="1:38" ht="52.5" customHeight="1" x14ac:dyDescent="0.15">
      <c r="A54" s="2" t="s">
        <v>495</v>
      </c>
      <c r="B54" s="1" t="s">
        <v>494</v>
      </c>
      <c r="C54" s="13"/>
      <c r="D54" s="4">
        <v>2978986</v>
      </c>
      <c r="E54" s="3">
        <f t="shared" ref="E54" si="10">LEN(D54)</f>
        <v>7</v>
      </c>
      <c r="F54" s="4" t="str">
        <f t="shared" ref="F54" si="11">IF(E54=6,IF(OR(MID(D54,2,1)="4",MID(D54,2,1)="8"),"歯科","医科"),IF(OR(MID(D54,3,1)="4",MID(D54,3,1)="8"),"歯科","医科"))</f>
        <v>医科</v>
      </c>
      <c r="G54" s="4" t="str">
        <f t="shared" ref="G54" si="12">IF(E54=6,IF(F54="医科","1310"&amp;D54,"1330"&amp;D54),IF(F54="医科","131"&amp;D54,"133"&amp;D54))</f>
        <v>1312978986</v>
      </c>
      <c r="H54" s="4" t="str">
        <f t="shared" ref="H54" si="13">IF(G54=G53,"二重","　")</f>
        <v>　</v>
      </c>
      <c r="I54" s="3">
        <f t="shared" ref="I54" si="14">COUNTIF($D$4:$D$50,D54)</f>
        <v>0</v>
      </c>
      <c r="J54" s="1" t="s">
        <v>504</v>
      </c>
      <c r="K54" s="1" t="s">
        <v>496</v>
      </c>
      <c r="L54" s="5" t="s">
        <v>31</v>
      </c>
      <c r="M54" s="1" t="s">
        <v>497</v>
      </c>
      <c r="N54" s="5" t="s">
        <v>498</v>
      </c>
      <c r="O54" s="1" t="s">
        <v>499</v>
      </c>
      <c r="P54" s="34" t="s">
        <v>496</v>
      </c>
      <c r="Q54" s="34" t="s">
        <v>500</v>
      </c>
      <c r="R54" s="5" t="s">
        <v>159</v>
      </c>
      <c r="S54" s="1" t="s">
        <v>501</v>
      </c>
      <c r="T54" s="26">
        <v>46241</v>
      </c>
      <c r="U54" s="62">
        <v>46296</v>
      </c>
      <c r="V54" s="26">
        <v>46296</v>
      </c>
      <c r="W54" s="13" t="s">
        <v>502</v>
      </c>
      <c r="X54" s="26"/>
      <c r="Y54" s="66"/>
      <c r="Z54" s="66" t="s">
        <v>36</v>
      </c>
      <c r="AA54" s="3">
        <v>1</v>
      </c>
      <c r="AB54" s="3">
        <v>1</v>
      </c>
      <c r="AC54" s="11">
        <v>50810</v>
      </c>
      <c r="AD54" s="3"/>
      <c r="AF54" t="s">
        <v>452</v>
      </c>
    </row>
  </sheetData>
  <autoFilter ref="A3:AK54" xr:uid="{00000000-0001-0000-0000-000000000000}"/>
  <mergeCells count="25">
    <mergeCell ref="Y2:Y3"/>
    <mergeCell ref="AF2:AF3"/>
    <mergeCell ref="AE2:AE3"/>
    <mergeCell ref="Z2:Z3"/>
    <mergeCell ref="A2:A3"/>
    <mergeCell ref="R2:R3"/>
    <mergeCell ref="B2:B3"/>
    <mergeCell ref="D2:N2"/>
    <mergeCell ref="C2:C3"/>
    <mergeCell ref="AL2:AL3"/>
    <mergeCell ref="AK2:AK3"/>
    <mergeCell ref="S2:S3"/>
    <mergeCell ref="O2:Q2"/>
    <mergeCell ref="X2:X3"/>
    <mergeCell ref="V2:V3"/>
    <mergeCell ref="AG2:AG3"/>
    <mergeCell ref="W2:W3"/>
    <mergeCell ref="T2:T3"/>
    <mergeCell ref="AA2:AA3"/>
    <mergeCell ref="AC2:AC3"/>
    <mergeCell ref="AD2:AD3"/>
    <mergeCell ref="AJ2:AJ3"/>
    <mergeCell ref="AI2:AI3"/>
    <mergeCell ref="AB2:AB3"/>
    <mergeCell ref="AH2:AH3"/>
  </mergeCells>
  <phoneticPr fontId="3"/>
  <printOptions horizontalCentered="1"/>
  <pageMargins left="0.23622047244094491" right="0.23622047244094491" top="0.15748031496062992" bottom="0.15748031496062992" header="0" footer="0"/>
  <pageSetup paperSize="9" orientation="portrait" horizontalDpi="4294967293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病院・診療所</vt:lpstr>
      <vt:lpstr>病院・診療所!Print_Area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安原　健二</dc:creator>
  <cp:lastModifiedBy>h_hyakutake</cp:lastModifiedBy>
  <cp:lastPrinted>2026-06-20T15:24:36Z</cp:lastPrinted>
  <dcterms:created xsi:type="dcterms:W3CDTF">2015-08-06T05:30:45Z</dcterms:created>
  <dcterms:modified xsi:type="dcterms:W3CDTF">2026-10-29T23:24:40Z</dcterms:modified>
</cp:coreProperties>
</file>