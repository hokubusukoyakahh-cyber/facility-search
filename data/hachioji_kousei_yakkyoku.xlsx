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.H\Desktop\"/>
    </mc:Choice>
  </mc:AlternateContent>
  <xr:revisionPtr revIDLastSave="0" documentId="8_{1A1DF8AE-02D9-46A1-80E9-FA6423B14126}" xr6:coauthVersionLast="47" xr6:coauthVersionMax="47" xr10:uidLastSave="{00000000-0000-0000-0000-000000000000}"/>
  <bookViews>
    <workbookView xWindow="-110" yWindow="-110" windowWidth="23260" windowHeight="13900" xr2:uid="{9BBBB9BE-A425-455E-8E82-0F637A225DB1}"/>
  </bookViews>
  <sheets>
    <sheet name="薬局" sheetId="1" r:id="rId1"/>
  </sheets>
  <definedNames>
    <definedName name="_xlnm._FilterDatabase" localSheetId="0" hidden="1">薬局!$A$3:$AK$137</definedName>
    <definedName name="_xlnm.Print_Area" localSheetId="0">薬局!$A$1:$AK$141</definedName>
    <definedName name="_xlnm.Print_Titles" localSheetId="0">薬局!$2:$3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7" i="1" l="1"/>
  <c r="F137" i="1" s="1"/>
  <c r="E136" i="1"/>
  <c r="F136" i="1" s="1"/>
  <c r="E135" i="1"/>
  <c r="F135" i="1" s="1"/>
  <c r="E134" i="1"/>
  <c r="F134" i="1" s="1"/>
  <c r="E133" i="1"/>
  <c r="F133" i="1" s="1"/>
  <c r="E132" i="1"/>
  <c r="F132" i="1" s="1"/>
  <c r="E131" i="1"/>
  <c r="F131" i="1" s="1"/>
  <c r="E130" i="1"/>
  <c r="F130" i="1" s="1"/>
  <c r="E129" i="1"/>
  <c r="F129" i="1" s="1"/>
  <c r="E128" i="1"/>
  <c r="F128" i="1" s="1"/>
  <c r="E127" i="1"/>
  <c r="F127" i="1" s="1"/>
  <c r="E126" i="1"/>
  <c r="F126" i="1" s="1"/>
  <c r="E125" i="1"/>
  <c r="F125" i="1" s="1"/>
  <c r="F124" i="1"/>
  <c r="F123" i="1"/>
  <c r="E123" i="1"/>
  <c r="E122" i="1"/>
  <c r="F122" i="1" s="1"/>
  <c r="G122" i="1" s="1"/>
  <c r="F121" i="1"/>
  <c r="G121" i="1" s="1"/>
  <c r="E121" i="1"/>
  <c r="F120" i="1"/>
  <c r="E120" i="1"/>
  <c r="E119" i="1"/>
  <c r="F119" i="1" s="1"/>
  <c r="G119" i="1" s="1"/>
  <c r="F118" i="1"/>
  <c r="E118" i="1"/>
  <c r="F117" i="1"/>
  <c r="E117" i="1"/>
  <c r="F116" i="1"/>
  <c r="E116" i="1"/>
  <c r="F115" i="1"/>
  <c r="E115" i="1"/>
  <c r="F114" i="1"/>
  <c r="E114" i="1"/>
  <c r="E113" i="1"/>
  <c r="F113" i="1" s="1"/>
  <c r="G113" i="1" s="1"/>
  <c r="F112" i="1"/>
  <c r="E112" i="1"/>
  <c r="E111" i="1"/>
  <c r="F111" i="1" s="1"/>
  <c r="G111" i="1" s="1"/>
  <c r="F110" i="1"/>
  <c r="G110" i="1" s="1"/>
  <c r="E110" i="1"/>
  <c r="E109" i="1"/>
  <c r="F109" i="1" s="1"/>
  <c r="G109" i="1" s="1"/>
  <c r="F108" i="1"/>
  <c r="G108" i="1" s="1"/>
  <c r="E108" i="1"/>
  <c r="E107" i="1"/>
  <c r="F107" i="1" s="1"/>
  <c r="G107" i="1" s="1"/>
  <c r="F106" i="1"/>
  <c r="E106" i="1"/>
  <c r="E105" i="1"/>
  <c r="F105" i="1" s="1"/>
  <c r="G105" i="1" s="1"/>
  <c r="F104" i="1"/>
  <c r="E104" i="1"/>
  <c r="E103" i="1"/>
  <c r="F103" i="1" s="1"/>
  <c r="G103" i="1" s="1"/>
  <c r="F102" i="1"/>
  <c r="G102" i="1" s="1"/>
  <c r="E102" i="1"/>
  <c r="E101" i="1"/>
  <c r="F101" i="1" s="1"/>
  <c r="G101" i="1" s="1"/>
  <c r="F100" i="1"/>
  <c r="G100" i="1" s="1"/>
  <c r="E100" i="1"/>
  <c r="E99" i="1"/>
  <c r="F99" i="1" s="1"/>
  <c r="G99" i="1" s="1"/>
  <c r="F98" i="1"/>
  <c r="E98" i="1"/>
  <c r="E97" i="1"/>
  <c r="F97" i="1" s="1"/>
  <c r="G97" i="1" s="1"/>
  <c r="F96" i="1"/>
  <c r="E96" i="1"/>
  <c r="E95" i="1"/>
  <c r="F95" i="1" s="1"/>
  <c r="G95" i="1" s="1"/>
  <c r="F94" i="1"/>
  <c r="G94" i="1" s="1"/>
  <c r="E94" i="1"/>
  <c r="E93" i="1"/>
  <c r="F93" i="1" s="1"/>
  <c r="G93" i="1" s="1"/>
  <c r="F92" i="1"/>
  <c r="G92" i="1" s="1"/>
  <c r="E92" i="1"/>
  <c r="E91" i="1"/>
  <c r="F91" i="1" s="1"/>
  <c r="G91" i="1" s="1"/>
  <c r="F90" i="1"/>
  <c r="E90" i="1"/>
  <c r="E89" i="1"/>
  <c r="F89" i="1" s="1"/>
  <c r="G89" i="1" s="1"/>
  <c r="F88" i="1"/>
  <c r="E88" i="1"/>
  <c r="E87" i="1"/>
  <c r="F87" i="1" s="1"/>
  <c r="G87" i="1" s="1"/>
  <c r="F86" i="1"/>
  <c r="G86" i="1" s="1"/>
  <c r="E86" i="1"/>
  <c r="E85" i="1"/>
  <c r="F85" i="1" s="1"/>
  <c r="G85" i="1" s="1"/>
  <c r="F84" i="1"/>
  <c r="G84" i="1" s="1"/>
  <c r="E84" i="1"/>
  <c r="E83" i="1"/>
  <c r="F83" i="1" s="1"/>
  <c r="G83" i="1" s="1"/>
  <c r="F82" i="1"/>
  <c r="E82" i="1"/>
  <c r="E81" i="1"/>
  <c r="F81" i="1" s="1"/>
  <c r="G81" i="1" s="1"/>
  <c r="F80" i="1"/>
  <c r="E80" i="1"/>
  <c r="E79" i="1"/>
  <c r="F79" i="1" s="1"/>
  <c r="G79" i="1" s="1"/>
  <c r="F78" i="1"/>
  <c r="G78" i="1" s="1"/>
  <c r="E78" i="1"/>
  <c r="E77" i="1"/>
  <c r="F77" i="1" s="1"/>
  <c r="G77" i="1" s="1"/>
  <c r="F76" i="1"/>
  <c r="G76" i="1" s="1"/>
  <c r="E76" i="1"/>
  <c r="E75" i="1"/>
  <c r="F75" i="1" s="1"/>
  <c r="G75" i="1" s="1"/>
  <c r="F74" i="1"/>
  <c r="E74" i="1"/>
  <c r="E73" i="1"/>
  <c r="F73" i="1" s="1"/>
  <c r="G73" i="1" s="1"/>
  <c r="F72" i="1"/>
  <c r="E72" i="1"/>
  <c r="E71" i="1"/>
  <c r="F71" i="1" s="1"/>
  <c r="G71" i="1" s="1"/>
  <c r="F70" i="1"/>
  <c r="G70" i="1" s="1"/>
  <c r="E70" i="1"/>
  <c r="E69" i="1"/>
  <c r="F69" i="1" s="1"/>
  <c r="G69" i="1" s="1"/>
  <c r="F68" i="1"/>
  <c r="G68" i="1" s="1"/>
  <c r="E68" i="1"/>
  <c r="E67" i="1"/>
  <c r="F67" i="1" s="1"/>
  <c r="G67" i="1" s="1"/>
  <c r="F66" i="1"/>
  <c r="E66" i="1"/>
  <c r="E65" i="1"/>
  <c r="F65" i="1" s="1"/>
  <c r="G65" i="1" s="1"/>
  <c r="F64" i="1"/>
  <c r="E64" i="1"/>
  <c r="E63" i="1"/>
  <c r="F63" i="1" s="1"/>
  <c r="G63" i="1" s="1"/>
  <c r="F62" i="1"/>
  <c r="G62" i="1" s="1"/>
  <c r="E62" i="1"/>
  <c r="E61" i="1"/>
  <c r="F61" i="1" s="1"/>
  <c r="G61" i="1" s="1"/>
  <c r="F60" i="1"/>
  <c r="G60" i="1" s="1"/>
  <c r="E60" i="1"/>
  <c r="E59" i="1"/>
  <c r="F59" i="1" s="1"/>
  <c r="G59" i="1" s="1"/>
  <c r="F58" i="1"/>
  <c r="E58" i="1"/>
  <c r="E57" i="1"/>
  <c r="F57" i="1" s="1"/>
  <c r="G57" i="1" s="1"/>
  <c r="F56" i="1"/>
  <c r="E56" i="1"/>
  <c r="E55" i="1"/>
  <c r="F55" i="1" s="1"/>
  <c r="G55" i="1" s="1"/>
  <c r="F54" i="1"/>
  <c r="G54" i="1" s="1"/>
  <c r="E54" i="1"/>
  <c r="E53" i="1"/>
  <c r="F53" i="1" s="1"/>
  <c r="G53" i="1" s="1"/>
  <c r="F52" i="1"/>
  <c r="G52" i="1" s="1"/>
  <c r="E52" i="1"/>
  <c r="E51" i="1"/>
  <c r="F51" i="1" s="1"/>
  <c r="G51" i="1" s="1"/>
  <c r="F50" i="1"/>
  <c r="E50" i="1"/>
  <c r="E49" i="1"/>
  <c r="F49" i="1" s="1"/>
  <c r="G49" i="1" s="1"/>
  <c r="F48" i="1"/>
  <c r="E48" i="1"/>
  <c r="E47" i="1"/>
  <c r="F47" i="1" s="1"/>
  <c r="G47" i="1" s="1"/>
  <c r="F46" i="1"/>
  <c r="G46" i="1" s="1"/>
  <c r="E46" i="1"/>
  <c r="E45" i="1"/>
  <c r="F45" i="1" s="1"/>
  <c r="G45" i="1" s="1"/>
  <c r="F44" i="1"/>
  <c r="G44" i="1" s="1"/>
  <c r="E44" i="1"/>
  <c r="E43" i="1"/>
  <c r="F43" i="1" s="1"/>
  <c r="G43" i="1" s="1"/>
  <c r="F42" i="1"/>
  <c r="E42" i="1"/>
  <c r="E41" i="1"/>
  <c r="F41" i="1" s="1"/>
  <c r="G41" i="1" s="1"/>
  <c r="F40" i="1"/>
  <c r="E40" i="1"/>
  <c r="E39" i="1"/>
  <c r="F39" i="1" s="1"/>
  <c r="G39" i="1" s="1"/>
  <c r="F38" i="1"/>
  <c r="G38" i="1" s="1"/>
  <c r="E38" i="1"/>
  <c r="E37" i="1"/>
  <c r="F37" i="1" s="1"/>
  <c r="G37" i="1" s="1"/>
  <c r="F36" i="1"/>
  <c r="G36" i="1" s="1"/>
  <c r="E36" i="1"/>
  <c r="E35" i="1"/>
  <c r="F35" i="1" s="1"/>
  <c r="G35" i="1" s="1"/>
  <c r="F34" i="1"/>
  <c r="G34" i="1" s="1"/>
  <c r="E34" i="1"/>
  <c r="E33" i="1"/>
  <c r="F33" i="1" s="1"/>
  <c r="G33" i="1" s="1"/>
  <c r="F32" i="1"/>
  <c r="E32" i="1"/>
  <c r="G31" i="1"/>
  <c r="E31" i="1"/>
  <c r="F31" i="1" s="1"/>
  <c r="F30" i="1"/>
  <c r="E30" i="1"/>
  <c r="E29" i="1"/>
  <c r="F29" i="1" s="1"/>
  <c r="G29" i="1" s="1"/>
  <c r="F28" i="1"/>
  <c r="E28" i="1"/>
  <c r="G27" i="1"/>
  <c r="E27" i="1"/>
  <c r="F27" i="1" s="1"/>
  <c r="F26" i="1"/>
  <c r="E26" i="1"/>
  <c r="E25" i="1"/>
  <c r="F25" i="1" s="1"/>
  <c r="G25" i="1" s="1"/>
  <c r="F24" i="1"/>
  <c r="E24" i="1"/>
  <c r="E23" i="1"/>
  <c r="F23" i="1" s="1"/>
  <c r="G23" i="1" s="1"/>
  <c r="F22" i="1"/>
  <c r="G22" i="1" s="1"/>
  <c r="E22" i="1"/>
  <c r="E21" i="1"/>
  <c r="F21" i="1" s="1"/>
  <c r="G21" i="1" s="1"/>
  <c r="F20" i="1"/>
  <c r="G20" i="1" s="1"/>
  <c r="E20" i="1"/>
  <c r="E19" i="1"/>
  <c r="F19" i="1" s="1"/>
  <c r="G19" i="1" s="1"/>
  <c r="F18" i="1"/>
  <c r="G18" i="1" s="1"/>
  <c r="E18" i="1"/>
  <c r="E17" i="1"/>
  <c r="F17" i="1" s="1"/>
  <c r="G17" i="1" s="1"/>
  <c r="F16" i="1"/>
  <c r="E16" i="1"/>
  <c r="G15" i="1"/>
  <c r="E15" i="1"/>
  <c r="F15" i="1" s="1"/>
  <c r="F14" i="1"/>
  <c r="E14" i="1"/>
  <c r="E13" i="1"/>
  <c r="F13" i="1" s="1"/>
  <c r="G13" i="1" s="1"/>
  <c r="F12" i="1"/>
  <c r="E12" i="1"/>
  <c r="G11" i="1"/>
  <c r="E11" i="1"/>
  <c r="F11" i="1" s="1"/>
  <c r="F10" i="1"/>
  <c r="E10" i="1"/>
  <c r="E9" i="1"/>
  <c r="F9" i="1" s="1"/>
  <c r="G9" i="1" s="1"/>
  <c r="F8" i="1"/>
  <c r="E8" i="1"/>
  <c r="E7" i="1"/>
  <c r="F7" i="1" s="1"/>
  <c r="G7" i="1" s="1"/>
  <c r="F6" i="1"/>
  <c r="G6" i="1" s="1"/>
  <c r="E6" i="1"/>
  <c r="E5" i="1"/>
  <c r="F5" i="1" s="1"/>
  <c r="G5" i="1" s="1"/>
  <c r="F4" i="1"/>
  <c r="G4" i="1" s="1"/>
  <c r="E4" i="1"/>
  <c r="G14" i="1" l="1"/>
  <c r="G16" i="1"/>
  <c r="G30" i="1"/>
  <c r="G32" i="1"/>
  <c r="G42" i="1"/>
  <c r="G50" i="1"/>
  <c r="G58" i="1"/>
  <c r="G66" i="1"/>
  <c r="G74" i="1"/>
  <c r="G82" i="1"/>
  <c r="G90" i="1"/>
  <c r="G98" i="1"/>
  <c r="G106" i="1"/>
  <c r="G118" i="1"/>
  <c r="G10" i="1"/>
  <c r="G12" i="1"/>
  <c r="G26" i="1"/>
  <c r="G28" i="1"/>
  <c r="G40" i="1"/>
  <c r="G48" i="1"/>
  <c r="G56" i="1"/>
  <c r="G64" i="1"/>
  <c r="G72" i="1"/>
  <c r="G80" i="1"/>
  <c r="G88" i="1"/>
  <c r="G96" i="1"/>
  <c r="G104" i="1"/>
  <c r="G112" i="1"/>
  <c r="G8" i="1"/>
  <c r="G24" i="1"/>
</calcChain>
</file>

<file path=xl/sharedStrings.xml><?xml version="1.0" encoding="utf-8"?>
<sst xmlns="http://schemas.openxmlformats.org/spreadsheetml/2006/main" count="1990" uniqueCount="1406">
  <si>
    <t>指定自立支援医療機関（育成・更生医療）指定一覧【薬局】（令和8年6月1日現在）</t>
    <rPh sb="0" eb="2">
      <t>シテイ</t>
    </rPh>
    <rPh sb="2" eb="4">
      <t>ジリツ</t>
    </rPh>
    <rPh sb="4" eb="6">
      <t>シエン</t>
    </rPh>
    <rPh sb="6" eb="8">
      <t>イリョウ</t>
    </rPh>
    <rPh sb="8" eb="10">
      <t>キカン</t>
    </rPh>
    <rPh sb="11" eb="13">
      <t>イクセイ</t>
    </rPh>
    <rPh sb="14" eb="16">
      <t>コウセイ</t>
    </rPh>
    <rPh sb="16" eb="18">
      <t>イリョウ</t>
    </rPh>
    <rPh sb="19" eb="21">
      <t>シテイ</t>
    </rPh>
    <rPh sb="21" eb="22">
      <t>イチ</t>
    </rPh>
    <rPh sb="22" eb="23">
      <t>ラン</t>
    </rPh>
    <rPh sb="24" eb="26">
      <t>ヤッキョク</t>
    </rPh>
    <phoneticPr fontId="5"/>
  </si>
  <si>
    <t>変更届（　、～平成年月日）</t>
    <rPh sb="0" eb="2">
      <t>ヘンコウ</t>
    </rPh>
    <rPh sb="2" eb="3">
      <t>トド</t>
    </rPh>
    <rPh sb="7" eb="9">
      <t>ヘイセイ</t>
    </rPh>
    <rPh sb="9" eb="10">
      <t>トシ</t>
    </rPh>
    <rPh sb="10" eb="11">
      <t>ツキ</t>
    </rPh>
    <rPh sb="11" eb="12">
      <t>ヒ</t>
    </rPh>
    <phoneticPr fontId="5"/>
  </si>
  <si>
    <t>【R5.7.1分まで】
変更届（　→）、～平成年月日）</t>
    <rPh sb="12" eb="14">
      <t>ヘンコウ</t>
    </rPh>
    <rPh sb="14" eb="15">
      <t>トド</t>
    </rPh>
    <rPh sb="21" eb="23">
      <t>ヘイセイ</t>
    </rPh>
    <rPh sb="23" eb="24">
      <t>ネン</t>
    </rPh>
    <rPh sb="24" eb="25">
      <t>ガツ</t>
    </rPh>
    <rPh sb="25" eb="26">
      <t>ニチ</t>
    </rPh>
    <phoneticPr fontId="5"/>
  </si>
  <si>
    <t>【R5.7.1分まで】
変更届（薬局名称（（ｺｰﾄﾞ変更無→）、～平成26年８月３日）</t>
    <rPh sb="16" eb="18">
      <t>ヤッキョク</t>
    </rPh>
    <rPh sb="18" eb="20">
      <t>メイショウ</t>
    </rPh>
    <phoneticPr fontId="5"/>
  </si>
  <si>
    <t>【R5.8.1分から】
変更届（旧事項→新事項、変更日:令和年月日）</t>
    <rPh sb="7" eb="8">
      <t>ブン</t>
    </rPh>
    <rPh sb="28" eb="30">
      <t>レイワ</t>
    </rPh>
    <rPh sb="30" eb="31">
      <t>ネン</t>
    </rPh>
    <rPh sb="31" eb="32">
      <t>ツキ</t>
    </rPh>
    <rPh sb="32" eb="33">
      <t>ヒ</t>
    </rPh>
    <phoneticPr fontId="6"/>
  </si>
  <si>
    <t>61</t>
    <phoneticPr fontId="6"/>
  </si>
  <si>
    <t>前回以降
新規更新変更
(区市町村向)</t>
    <rPh sb="0" eb="2">
      <t>ゼンカイ</t>
    </rPh>
    <rPh sb="2" eb="4">
      <t>イコウ</t>
    </rPh>
    <rPh sb="5" eb="7">
      <t>シンキ</t>
    </rPh>
    <rPh sb="7" eb="9">
      <t>コウシン</t>
    </rPh>
    <rPh sb="9" eb="11">
      <t>ヘンコウ</t>
    </rPh>
    <rPh sb="13" eb="14">
      <t>ク</t>
    </rPh>
    <rPh sb="14" eb="17">
      <t>シチョウソン</t>
    </rPh>
    <rPh sb="17" eb="18">
      <t>ムケ</t>
    </rPh>
    <phoneticPr fontId="5"/>
  </si>
  <si>
    <t>廃止、
辞退</t>
    <rPh sb="0" eb="2">
      <t>ハイシ</t>
    </rPh>
    <rPh sb="4" eb="6">
      <t>ジタイ</t>
    </rPh>
    <phoneticPr fontId="5"/>
  </si>
  <si>
    <t>開　　設　　者</t>
    <rPh sb="0" eb="1">
      <t>カイ</t>
    </rPh>
    <rPh sb="3" eb="4">
      <t>セツ</t>
    </rPh>
    <rPh sb="6" eb="7">
      <t>シャ</t>
    </rPh>
    <phoneticPr fontId="5"/>
  </si>
  <si>
    <t>薬剤師</t>
    <rPh sb="0" eb="2">
      <t>ヤクザイ</t>
    </rPh>
    <rPh sb="2" eb="3">
      <t>シ</t>
    </rPh>
    <phoneticPr fontId="5"/>
  </si>
  <si>
    <t>薬剤師の変更（直近）</t>
    <rPh sb="0" eb="2">
      <t>ヤクザイ</t>
    </rPh>
    <rPh sb="2" eb="3">
      <t>シ</t>
    </rPh>
    <rPh sb="4" eb="6">
      <t>ヘンコウ</t>
    </rPh>
    <rPh sb="7" eb="9">
      <t>チョッキン</t>
    </rPh>
    <phoneticPr fontId="5"/>
  </si>
  <si>
    <t>申請年月日</t>
    <rPh sb="0" eb="1">
      <t>サル</t>
    </rPh>
    <rPh sb="1" eb="2">
      <t>ショウ</t>
    </rPh>
    <rPh sb="2" eb="3">
      <t>トシ</t>
    </rPh>
    <rPh sb="3" eb="4">
      <t>ツキ</t>
    </rPh>
    <rPh sb="4" eb="5">
      <t>ヒ</t>
    </rPh>
    <phoneticPr fontId="5"/>
  </si>
  <si>
    <t>指定年月日</t>
    <rPh sb="0" eb="2">
      <t>シテイ</t>
    </rPh>
    <rPh sb="2" eb="5">
      <t>ネンガッピ</t>
    </rPh>
    <phoneticPr fontId="5"/>
  </si>
  <si>
    <t>文書番号</t>
    <rPh sb="0" eb="2">
      <t>ブンショ</t>
    </rPh>
    <rPh sb="2" eb="3">
      <t>バン</t>
    </rPh>
    <rPh sb="3" eb="4">
      <t>ゴウ</t>
    </rPh>
    <phoneticPr fontId="5"/>
  </si>
  <si>
    <t>更新年月日</t>
    <rPh sb="0" eb="2">
      <t>コウシン</t>
    </rPh>
    <rPh sb="2" eb="5">
      <t>ネンガッピ</t>
    </rPh>
    <phoneticPr fontId="5"/>
  </si>
  <si>
    <t>医療種別</t>
    <rPh sb="0" eb="1">
      <t>イ</t>
    </rPh>
    <rPh sb="1" eb="2">
      <t>リョウ</t>
    </rPh>
    <rPh sb="2" eb="3">
      <t>タネ</t>
    </rPh>
    <rPh sb="3" eb="4">
      <t>ベツ</t>
    </rPh>
    <phoneticPr fontId="5"/>
  </si>
  <si>
    <t>育成医療</t>
    <rPh sb="0" eb="2">
      <t>イクセイ</t>
    </rPh>
    <rPh sb="2" eb="4">
      <t>イリョウ</t>
    </rPh>
    <phoneticPr fontId="5"/>
  </si>
  <si>
    <t>更生医療</t>
    <rPh sb="0" eb="2">
      <t>コウセイ</t>
    </rPh>
    <rPh sb="2" eb="4">
      <t>イリョウ</t>
    </rPh>
    <phoneticPr fontId="5"/>
  </si>
  <si>
    <t>指定年月</t>
    <rPh sb="0" eb="2">
      <t>シテイ</t>
    </rPh>
    <rPh sb="2" eb="4">
      <t>ネンゲツ</t>
    </rPh>
    <phoneticPr fontId="5"/>
  </si>
  <si>
    <t xml:space="preserve">廃止・
辞退・
休止年月
</t>
    <rPh sb="0" eb="2">
      <t>ハイシ</t>
    </rPh>
    <rPh sb="4" eb="6">
      <t>ジタイ</t>
    </rPh>
    <rPh sb="8" eb="10">
      <t>キュウシ</t>
    </rPh>
    <rPh sb="10" eb="12">
      <t>ネンゲツ</t>
    </rPh>
    <phoneticPr fontId="5"/>
  </si>
  <si>
    <t>変　更　①</t>
    <rPh sb="0" eb="1">
      <t>ヘン</t>
    </rPh>
    <rPh sb="2" eb="3">
      <t>サラ</t>
    </rPh>
    <phoneticPr fontId="5"/>
  </si>
  <si>
    <t>変　更　②</t>
    <rPh sb="0" eb="1">
      <t>ヘン</t>
    </rPh>
    <rPh sb="2" eb="3">
      <t>サラ</t>
    </rPh>
    <phoneticPr fontId="5"/>
  </si>
  <si>
    <t>変　更　③</t>
    <rPh sb="0" eb="1">
      <t>ヘン</t>
    </rPh>
    <rPh sb="2" eb="3">
      <t>サラ</t>
    </rPh>
    <phoneticPr fontId="5"/>
  </si>
  <si>
    <t>変　更　④</t>
    <rPh sb="0" eb="1">
      <t>ヘン</t>
    </rPh>
    <rPh sb="2" eb="3">
      <t>サラ</t>
    </rPh>
    <phoneticPr fontId="5"/>
  </si>
  <si>
    <t>変　更　⑤</t>
    <rPh sb="0" eb="1">
      <t>ヘン</t>
    </rPh>
    <rPh sb="2" eb="3">
      <t>サラ</t>
    </rPh>
    <phoneticPr fontId="5"/>
  </si>
  <si>
    <t>変　更　⑥</t>
    <rPh sb="0" eb="1">
      <t>ヘン</t>
    </rPh>
    <rPh sb="2" eb="3">
      <t>サラ</t>
    </rPh>
    <phoneticPr fontId="5"/>
  </si>
  <si>
    <t>変　更　⑦</t>
    <rPh sb="0" eb="1">
      <t>ヘン</t>
    </rPh>
    <rPh sb="2" eb="3">
      <t>サラ</t>
    </rPh>
    <phoneticPr fontId="5"/>
  </si>
  <si>
    <t>変　更　⑧</t>
    <rPh sb="0" eb="1">
      <t>ヘン</t>
    </rPh>
    <rPh sb="2" eb="3">
      <t>サラ</t>
    </rPh>
    <phoneticPr fontId="5"/>
  </si>
  <si>
    <t>変　更　⑨</t>
    <rPh sb="0" eb="1">
      <t>ヘン</t>
    </rPh>
    <rPh sb="2" eb="3">
      <t>サラ</t>
    </rPh>
    <phoneticPr fontId="5"/>
  </si>
  <si>
    <t>コード</t>
  </si>
  <si>
    <t>コード桁数</t>
    <rPh sb="3" eb="4">
      <t>ケタ</t>
    </rPh>
    <rPh sb="4" eb="5">
      <t>スウ</t>
    </rPh>
    <phoneticPr fontId="5"/>
  </si>
  <si>
    <t>都13/薬局4</t>
    <rPh sb="0" eb="1">
      <t>ト</t>
    </rPh>
    <rPh sb="4" eb="6">
      <t>ヤッキョク</t>
    </rPh>
    <phoneticPr fontId="5"/>
  </si>
  <si>
    <t>重複</t>
    <rPh sb="0" eb="2">
      <t>チョウフク</t>
    </rPh>
    <phoneticPr fontId="5"/>
  </si>
  <si>
    <t>名　　称</t>
    <rPh sb="0" eb="1">
      <t>メイ</t>
    </rPh>
    <rPh sb="3" eb="4">
      <t>ショウ</t>
    </rPh>
    <phoneticPr fontId="5"/>
  </si>
  <si>
    <t>郵便番号</t>
    <rPh sb="0" eb="2">
      <t>ユウビン</t>
    </rPh>
    <rPh sb="2" eb="4">
      <t>バンゴウ</t>
    </rPh>
    <phoneticPr fontId="5"/>
  </si>
  <si>
    <t>区市町村名</t>
    <rPh sb="0" eb="4">
      <t>クシチョウソン</t>
    </rPh>
    <rPh sb="4" eb="5">
      <t>メイ</t>
    </rPh>
    <phoneticPr fontId="5"/>
  </si>
  <si>
    <t>所　在　地</t>
    <rPh sb="0" eb="1">
      <t>ショ</t>
    </rPh>
    <rPh sb="2" eb="3">
      <t>ザイ</t>
    </rPh>
    <rPh sb="4" eb="5">
      <t>チ</t>
    </rPh>
    <phoneticPr fontId="5"/>
  </si>
  <si>
    <t>電話番号</t>
    <rPh sb="0" eb="2">
      <t>デンワ</t>
    </rPh>
    <rPh sb="2" eb="4">
      <t>バンゴウ</t>
    </rPh>
    <phoneticPr fontId="5"/>
  </si>
  <si>
    <t>氏名又は名称</t>
    <rPh sb="0" eb="2">
      <t>シメイ</t>
    </rPh>
    <rPh sb="2" eb="3">
      <t>マタ</t>
    </rPh>
    <rPh sb="4" eb="6">
      <t>メイショウ</t>
    </rPh>
    <phoneticPr fontId="5"/>
  </si>
  <si>
    <t>郵便番号</t>
    <rPh sb="0" eb="4">
      <t>ユウビンバンゴウ</t>
    </rPh>
    <phoneticPr fontId="5"/>
  </si>
  <si>
    <t>（みなし指定）</t>
    <rPh sb="4" eb="6">
      <t>シテイ</t>
    </rPh>
    <phoneticPr fontId="5"/>
  </si>
  <si>
    <t>2-1</t>
  </si>
  <si>
    <t>茂木薬局</t>
  </si>
  <si>
    <t>193-0835</t>
  </si>
  <si>
    <t>24八王子市</t>
    <rPh sb="2" eb="6">
      <t>ハチオウジシ</t>
    </rPh>
    <phoneticPr fontId="5"/>
  </si>
  <si>
    <t>八王子市千人町２－１９－１９</t>
    <phoneticPr fontId="6"/>
  </si>
  <si>
    <t>042-661-6600</t>
  </si>
  <si>
    <t>株式会社エスシーグループ</t>
    <phoneticPr fontId="6"/>
  </si>
  <si>
    <t>174-0043</t>
    <phoneticPr fontId="6"/>
  </si>
  <si>
    <t>東京都板橋区坂下２－３２－２３</t>
    <rPh sb="0" eb="3">
      <t>トウキョウト</t>
    </rPh>
    <rPh sb="3" eb="6">
      <t>イタバシク</t>
    </rPh>
    <rPh sb="6" eb="8">
      <t>サカシタ</t>
    </rPh>
    <phoneticPr fontId="6"/>
  </si>
  <si>
    <t>芳賀裕允</t>
    <phoneticPr fontId="6"/>
  </si>
  <si>
    <t>変更届（茂木　毅　～令和4年6月30日）</t>
    <rPh sb="0" eb="3">
      <t>ヘンコウトドケ</t>
    </rPh>
    <rPh sb="10" eb="12">
      <t>レイワ</t>
    </rPh>
    <rPh sb="13" eb="14">
      <t>ネン</t>
    </rPh>
    <rPh sb="15" eb="16">
      <t>ガツ</t>
    </rPh>
    <rPh sb="18" eb="19">
      <t>ニチ</t>
    </rPh>
    <phoneticPr fontId="6"/>
  </si>
  <si>
    <t>19福保障計第209号</t>
    <rPh sb="2" eb="3">
      <t>フク</t>
    </rPh>
    <rPh sb="3" eb="4">
      <t>ホ</t>
    </rPh>
    <rPh sb="4" eb="5">
      <t>サワ</t>
    </rPh>
    <rPh sb="5" eb="6">
      <t>ケイ</t>
    </rPh>
    <rPh sb="6" eb="7">
      <t>ダイ</t>
    </rPh>
    <rPh sb="10" eb="11">
      <t>ゴウ</t>
    </rPh>
    <phoneticPr fontId="5"/>
  </si>
  <si>
    <t>6八福障第6793号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</si>
  <si>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育成医療・更生医療</t>
    <rPh sb="0" eb="2">
      <t>イクセイ</t>
    </rPh>
    <rPh sb="2" eb="4">
      <t>イリョウ</t>
    </rPh>
    <rPh sb="5" eb="7">
      <t>コウセイ</t>
    </rPh>
    <rPh sb="7" eb="9">
      <t>イリョウ</t>
    </rPh>
    <phoneticPr fontId="5"/>
  </si>
  <si>
    <t>変更届（開設者住所（八王子市千人町２－１９－１９→）、～平成29年10月16日）</t>
    <rPh sb="0" eb="2">
      <t>ヘンコウ</t>
    </rPh>
    <rPh sb="2" eb="3">
      <t>トドケ</t>
    </rPh>
    <rPh sb="4" eb="7">
      <t>カイセツシャ</t>
    </rPh>
    <rPh sb="7" eb="9">
      <t>ジュウショ</t>
    </rPh>
    <rPh sb="14" eb="17">
      <t>センニンチョウ</t>
    </rPh>
    <rPh sb="28" eb="30">
      <t>ヘイセイ</t>
    </rPh>
    <rPh sb="32" eb="33">
      <t>ネン</t>
    </rPh>
    <rPh sb="35" eb="36">
      <t>ガツ</t>
    </rPh>
    <rPh sb="38" eb="39">
      <t>ニチ</t>
    </rPh>
    <phoneticPr fontId="5"/>
  </si>
  <si>
    <t>変更届（開設者名称（株式会社茂木商会(ｺｰﾄﾞ2950244)→）、～令和２年１月31日）</t>
    <rPh sb="10" eb="14">
      <t>カブシキガイシャ</t>
    </rPh>
    <rPh sb="14" eb="16">
      <t>モギ</t>
    </rPh>
    <rPh sb="16" eb="18">
      <t>ショウカイ</t>
    </rPh>
    <rPh sb="34" eb="36">
      <t>レイワ</t>
    </rPh>
    <rPh sb="36" eb="37">
      <t>２</t>
    </rPh>
    <rPh sb="38" eb="39">
      <t>０</t>
    </rPh>
    <phoneticPr fontId="6"/>
  </si>
  <si>
    <t>2-2</t>
  </si>
  <si>
    <t>○</t>
  </si>
  <si>
    <t>フジムラ薬局</t>
  </si>
  <si>
    <t>193-0844</t>
  </si>
  <si>
    <t>八王子市高尾町１５７４</t>
  </si>
  <si>
    <t>042-661-0039</t>
  </si>
  <si>
    <t>藤村　誠一郎</t>
  </si>
  <si>
    <t>藤村　誠一郎</t>
    <rPh sb="0" eb="2">
      <t>フジムラ</t>
    </rPh>
    <rPh sb="3" eb="6">
      <t>セイイチロウ</t>
    </rPh>
    <phoneticPr fontId="5"/>
  </si>
  <si>
    <t>18福保障計第1343号</t>
    <rPh sb="2" eb="3">
      <t>フク</t>
    </rPh>
    <rPh sb="3" eb="5">
      <t>ホショウ</t>
    </rPh>
    <rPh sb="5" eb="6">
      <t>ケイ</t>
    </rPh>
    <rPh sb="6" eb="7">
      <t>ダイ</t>
    </rPh>
    <rPh sb="11" eb="12">
      <t>ゴウ</t>
    </rPh>
    <phoneticPr fontId="5"/>
  </si>
  <si>
    <t>廃止届（平成23年６月30日廃止、薬局廃止）</t>
    <phoneticPr fontId="6"/>
  </si>
  <si>
    <t>2-3</t>
  </si>
  <si>
    <t>中山薬局</t>
  </si>
  <si>
    <t>193-0943</t>
  </si>
  <si>
    <t>八王子市寺田町４３２　グリーンヒル寺田１０１－２０２</t>
    <phoneticPr fontId="6"/>
  </si>
  <si>
    <t>042-665-3697</t>
  </si>
  <si>
    <t>有限会社中山薬局</t>
  </si>
  <si>
    <t>東京都八王子市寺田町４３２　グリーンヒル寺田１０１－２０２</t>
    <rPh sb="0" eb="3">
      <t>トウキョウト</t>
    </rPh>
    <rPh sb="3" eb="7">
      <t>ハチオウジシ</t>
    </rPh>
    <phoneticPr fontId="5"/>
  </si>
  <si>
    <t>森本　達也</t>
    <rPh sb="0" eb="2">
      <t>モリモト</t>
    </rPh>
    <rPh sb="3" eb="5">
      <t>タツヤ</t>
    </rPh>
    <phoneticPr fontId="6"/>
  </si>
  <si>
    <t>変更届(神山　吉平、～令和3年9月30日）</t>
    <rPh sb="0" eb="2">
      <t>ヘンコウ</t>
    </rPh>
    <rPh sb="2" eb="3">
      <t>トドケ</t>
    </rPh>
    <rPh sb="11" eb="13">
      <t>レイワ</t>
    </rPh>
    <rPh sb="14" eb="15">
      <t>ネン</t>
    </rPh>
    <rPh sb="16" eb="17">
      <t>ガツ</t>
    </rPh>
    <rPh sb="19" eb="20">
      <t>ニチ</t>
    </rPh>
    <phoneticPr fontId="5"/>
  </si>
  <si>
    <t>18福保障計第1319号</t>
  </si>
  <si>
    <t>6八福障第5363号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</si>
  <si>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2-4</t>
  </si>
  <si>
    <t>ワダ薬局</t>
  </si>
  <si>
    <t>193-0832</t>
  </si>
  <si>
    <t>八王子市散田町３－１－１</t>
  </si>
  <si>
    <t>042-665-4189</t>
  </si>
  <si>
    <t>有限会社和田薬局</t>
  </si>
  <si>
    <t>井上　優子</t>
    <rPh sb="0" eb="2">
      <t>イノウエ</t>
    </rPh>
    <rPh sb="3" eb="5">
      <t>ユウコ</t>
    </rPh>
    <phoneticPr fontId="5"/>
  </si>
  <si>
    <t>18福保障計第1221号</t>
    <rPh sb="2" eb="3">
      <t>フク</t>
    </rPh>
    <rPh sb="3" eb="5">
      <t>ホショウ</t>
    </rPh>
    <rPh sb="5" eb="6">
      <t>ケイ</t>
    </rPh>
    <rPh sb="6" eb="7">
      <t>ダイ</t>
    </rPh>
    <rPh sb="11" eb="12">
      <t>ゴウ</t>
    </rPh>
    <phoneticPr fontId="5"/>
  </si>
  <si>
    <t>廃止届（平成20年２月26日廃止、薬局業務廃止）</t>
  </si>
  <si>
    <t>2-5</t>
  </si>
  <si>
    <t>だるま堂薬局</t>
  </si>
  <si>
    <t>192-0066</t>
  </si>
  <si>
    <t>八王子市本町３－１２</t>
  </si>
  <si>
    <t>042-622-2575</t>
  </si>
  <si>
    <t>有限会社だるま堂薬局</t>
  </si>
  <si>
    <t>東京都八王子市本町３－１２</t>
    <rPh sb="0" eb="3">
      <t>トウキョウト</t>
    </rPh>
    <rPh sb="3" eb="7">
      <t>ハチオウジシ</t>
    </rPh>
    <phoneticPr fontId="5"/>
  </si>
  <si>
    <t>根岸　徹</t>
    <rPh sb="0" eb="2">
      <t>ネギシ</t>
    </rPh>
    <rPh sb="3" eb="4">
      <t>トオル</t>
    </rPh>
    <phoneticPr fontId="5"/>
  </si>
  <si>
    <t>6八福障第5134号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</si>
  <si>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2-6</t>
  </si>
  <si>
    <t>さくら薬局八王子明神店</t>
    <rPh sb="5" eb="8">
      <t>ハチオウジ</t>
    </rPh>
    <rPh sb="8" eb="10">
      <t>ミョウジン</t>
    </rPh>
    <rPh sb="10" eb="11">
      <t>テン</t>
    </rPh>
    <phoneticPr fontId="6"/>
  </si>
  <si>
    <t>192-0046</t>
  </si>
  <si>
    <t>八王子市明神町４－２－７　秀和八王子レジデンス第１ビル１０３</t>
  </si>
  <si>
    <t>042-646-2210</t>
  </si>
  <si>
    <t>クラフト株式会社</t>
    <phoneticPr fontId="6"/>
  </si>
  <si>
    <t>100-0004</t>
    <phoneticPr fontId="6"/>
  </si>
  <si>
    <t>東京都千代田区大手町一丁目３番１号</t>
  </si>
  <si>
    <t>関川　彩子</t>
    <rPh sb="3" eb="5">
      <t>アヤコ</t>
    </rPh>
    <phoneticPr fontId="6"/>
  </si>
  <si>
    <t>変更届（原　義浩、～令和6年9月10日）</t>
    <rPh sb="0" eb="2">
      <t>ヘンコウ</t>
    </rPh>
    <rPh sb="2" eb="3">
      <t>トド</t>
    </rPh>
    <rPh sb="4" eb="5">
      <t>ハラ</t>
    </rPh>
    <rPh sb="6" eb="7">
      <t>ギ</t>
    </rPh>
    <rPh sb="7" eb="8">
      <t>ヒロシ</t>
    </rPh>
    <rPh sb="10" eb="12">
      <t>レイワ</t>
    </rPh>
    <rPh sb="13" eb="14">
      <t>トシ</t>
    </rPh>
    <rPh sb="15" eb="16">
      <t>ツキ</t>
    </rPh>
    <rPh sb="18" eb="19">
      <t>ヒ</t>
    </rPh>
    <phoneticPr fontId="5"/>
  </si>
  <si>
    <t>6八福障第5095号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</si>
  <si>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変更届（開設者名称（有限会社桑の実(ｺｰﾄﾞ2951358)→）、開設者住所（八王子市明神町４－２－７→）、～平成30年６月30日））</t>
    <rPh sb="14" eb="15">
      <t>クワ</t>
    </rPh>
    <rPh sb="16" eb="17">
      <t>ミ</t>
    </rPh>
    <rPh sb="39" eb="43">
      <t>ハチオウジシ</t>
    </rPh>
    <rPh sb="43" eb="46">
      <t>ミョウジンチョウ</t>
    </rPh>
    <phoneticPr fontId="6"/>
  </si>
  <si>
    <t>変更届（薬局名称（明神町調剤薬局(ｺｰﾄﾞ変更無し)→）、～令和元年８月31日）</t>
    <rPh sb="4" eb="6">
      <t>ヤッキョク</t>
    </rPh>
    <rPh sb="6" eb="8">
      <t>メイショウ</t>
    </rPh>
    <rPh sb="9" eb="12">
      <t>ミョウジンチョウ</t>
    </rPh>
    <rPh sb="12" eb="14">
      <t>チョウザイ</t>
    </rPh>
    <rPh sb="14" eb="16">
      <t>ヤッキョク</t>
    </rPh>
    <rPh sb="21" eb="23">
      <t>ヘンコウ</t>
    </rPh>
    <rPh sb="23" eb="24">
      <t>ナ</t>
    </rPh>
    <rPh sb="30" eb="31">
      <t>レイ</t>
    </rPh>
    <rPh sb="31" eb="32">
      <t>ワ</t>
    </rPh>
    <rPh sb="32" eb="33">
      <t>ガン</t>
    </rPh>
    <phoneticPr fontId="6"/>
  </si>
  <si>
    <t>変更届(開設者変更〔大塚　吉史→新井　勝))～令和2年7月1日</t>
    <rPh sb="0" eb="2">
      <t>ヘンコウ</t>
    </rPh>
    <rPh sb="2" eb="3">
      <t>トドケ</t>
    </rPh>
    <rPh sb="4" eb="6">
      <t>カイセツ</t>
    </rPh>
    <rPh sb="6" eb="7">
      <t>シャ</t>
    </rPh>
    <rPh sb="7" eb="9">
      <t>ヘンコウ</t>
    </rPh>
    <rPh sb="10" eb="12">
      <t>オオツカ</t>
    </rPh>
    <rPh sb="13" eb="14">
      <t>ヨシ</t>
    </rPh>
    <rPh sb="14" eb="15">
      <t>フミ</t>
    </rPh>
    <rPh sb="16" eb="18">
      <t>アライ</t>
    </rPh>
    <rPh sb="19" eb="20">
      <t>マサル</t>
    </rPh>
    <rPh sb="23" eb="25">
      <t>レイワ</t>
    </rPh>
    <rPh sb="26" eb="27">
      <t>ネン</t>
    </rPh>
    <rPh sb="28" eb="29">
      <t>ガツ</t>
    </rPh>
    <rPh sb="30" eb="31">
      <t>ニチ</t>
    </rPh>
    <phoneticPr fontId="6"/>
  </si>
  <si>
    <t>変更届（開設者住所変更：東京都千代田区丸の内１－１－１→東京都千代田区大手町一丁目３番１号）変更日：令和６年４月１日</t>
    <rPh sb="0" eb="3">
      <t>ヘンコウトドケ</t>
    </rPh>
    <rPh sb="4" eb="9">
      <t>カイセツシャジュウショ</t>
    </rPh>
    <rPh sb="9" eb="11">
      <t>ヘンコウ</t>
    </rPh>
    <rPh sb="28" eb="31">
      <t>トウキョウト</t>
    </rPh>
    <rPh sb="31" eb="35">
      <t>チヨダク</t>
    </rPh>
    <rPh sb="35" eb="38">
      <t>オオテマチ</t>
    </rPh>
    <rPh sb="38" eb="41">
      <t>イッチョウメ</t>
    </rPh>
    <rPh sb="42" eb="43">
      <t>バン</t>
    </rPh>
    <rPh sb="44" eb="45">
      <t>ゴウ</t>
    </rPh>
    <rPh sb="46" eb="49">
      <t>ヘンコウビ</t>
    </rPh>
    <rPh sb="50" eb="52">
      <t>レイワ</t>
    </rPh>
    <rPh sb="53" eb="54">
      <t>ネン</t>
    </rPh>
    <rPh sb="55" eb="56">
      <t>ガツ</t>
    </rPh>
    <rPh sb="57" eb="58">
      <t>ニチ</t>
    </rPh>
    <phoneticPr fontId="6"/>
  </si>
  <si>
    <t>2-7</t>
  </si>
  <si>
    <t>八王子薬剤センター薬局</t>
  </si>
  <si>
    <t>193-0944</t>
  </si>
  <si>
    <t>八王子市館町１０９７</t>
  </si>
  <si>
    <t>042-666-0931</t>
  </si>
  <si>
    <t>株式会社八王子薬剤センター</t>
  </si>
  <si>
    <t>東京都八王子市館町１０９７</t>
    <rPh sb="0" eb="3">
      <t>トウキョウト</t>
    </rPh>
    <rPh sb="3" eb="7">
      <t>ハチオウジシ</t>
    </rPh>
    <phoneticPr fontId="5"/>
  </si>
  <si>
    <t>三溝　学</t>
    <rPh sb="0" eb="1">
      <t>サン</t>
    </rPh>
    <rPh sb="1" eb="2">
      <t>ミゾ</t>
    </rPh>
    <rPh sb="3" eb="4">
      <t>マナブ</t>
    </rPh>
    <phoneticPr fontId="5"/>
  </si>
  <si>
    <t>変更届(添石　遼平、～令和7年6月30日）</t>
    <phoneticPr fontId="5"/>
  </si>
  <si>
    <t>18福保障計第1007号</t>
    <rPh sb="2" eb="3">
      <t>フク</t>
    </rPh>
    <rPh sb="3" eb="5">
      <t>ホショウ</t>
    </rPh>
    <rPh sb="5" eb="6">
      <t>ケイ</t>
    </rPh>
    <rPh sb="6" eb="7">
      <t>ダイ</t>
    </rPh>
    <rPh sb="11" eb="12">
      <t>ゴウ</t>
    </rPh>
    <phoneticPr fontId="5"/>
  </si>
  <si>
    <t>6八福障第5202号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</si>
  <si>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変更届（代表取締役：茂木　徹→橘　隆二、変更日：令和5年6月23日）</t>
    <rPh sb="4" eb="9">
      <t>ダイヒョウトリシマリヤク</t>
    </rPh>
    <rPh sb="10" eb="12">
      <t>モギ</t>
    </rPh>
    <rPh sb="13" eb="14">
      <t>トオル</t>
    </rPh>
    <rPh sb="15" eb="16">
      <t>タチバナ</t>
    </rPh>
    <rPh sb="17" eb="19">
      <t>リュウジ</t>
    </rPh>
    <rPh sb="20" eb="23">
      <t>ヘンコウビ</t>
    </rPh>
    <rPh sb="24" eb="26">
      <t>レイワ</t>
    </rPh>
    <rPh sb="27" eb="28">
      <t>ネン</t>
    </rPh>
    <rPh sb="29" eb="30">
      <t>ガツ</t>
    </rPh>
    <rPh sb="32" eb="33">
      <t>ヒ</t>
    </rPh>
    <phoneticPr fontId="6"/>
  </si>
  <si>
    <t>2-8</t>
  </si>
  <si>
    <t>さとう調剤薬局</t>
  </si>
  <si>
    <t>193-0816</t>
  </si>
  <si>
    <t>八王子市大楽寺町１３６－５</t>
  </si>
  <si>
    <t>042-651-1930</t>
  </si>
  <si>
    <t>日本メルファー株式会社</t>
  </si>
  <si>
    <t>東京都八王子市大楽寺町１３６－５</t>
    <rPh sb="0" eb="2">
      <t>トウキョウ</t>
    </rPh>
    <rPh sb="2" eb="3">
      <t>ト</t>
    </rPh>
    <phoneticPr fontId="5"/>
  </si>
  <si>
    <t>荒井　英冶</t>
    <rPh sb="0" eb="2">
      <t>アライ</t>
    </rPh>
    <rPh sb="3" eb="5">
      <t>エイジ</t>
    </rPh>
    <phoneticPr fontId="5"/>
  </si>
  <si>
    <t>6八福障第6991号</t>
    <phoneticPr fontId="6"/>
  </si>
  <si>
    <t>2-9</t>
  </si>
  <si>
    <t>さくら薬局八王子散田店</t>
    <rPh sb="3" eb="5">
      <t>ヤッキョク</t>
    </rPh>
    <rPh sb="5" eb="8">
      <t>ハチオウジ</t>
    </rPh>
    <rPh sb="10" eb="11">
      <t>テン</t>
    </rPh>
    <phoneticPr fontId="6"/>
  </si>
  <si>
    <t>八王子市散田町３－８－２４　茂和ビル１階</t>
  </si>
  <si>
    <t>042-667-1967</t>
  </si>
  <si>
    <t>柳沢　紫苑</t>
    <rPh sb="0" eb="2">
      <t>ヤナギサワ</t>
    </rPh>
    <rPh sb="3" eb="5">
      <t>シオン</t>
    </rPh>
    <phoneticPr fontId="5"/>
  </si>
  <si>
    <t>変更届（曽我部　ひな、～令和6年9月10日）</t>
    <rPh sb="0" eb="2">
      <t>ヘンコウ</t>
    </rPh>
    <rPh sb="2" eb="3">
      <t>トド</t>
    </rPh>
    <rPh sb="12" eb="14">
      <t>レイワ</t>
    </rPh>
    <rPh sb="15" eb="16">
      <t>トシ</t>
    </rPh>
    <rPh sb="17" eb="18">
      <t>ツキ</t>
    </rPh>
    <rPh sb="20" eb="21">
      <t>ヒ</t>
    </rPh>
    <phoneticPr fontId="5"/>
  </si>
  <si>
    <t>18福保障計第1657号</t>
  </si>
  <si>
    <t>6八福障第6622号</t>
    <phoneticPr fontId="6"/>
  </si>
  <si>
    <t>変更届（開設者名称（有限会社桑の実(ｺｰﾄﾞ2951655)→）、開設者住所（八王子市明神町４－２－７→）、～平成30年６月30日））</t>
    <phoneticPr fontId="6"/>
  </si>
  <si>
    <t>変更届（薬局名称（散田町調剤薬局(ｺｰﾄﾞ変更無し)→）、～令和元年８月31日）</t>
    <rPh sb="4" eb="6">
      <t>ヤッキョク</t>
    </rPh>
    <rPh sb="6" eb="8">
      <t>メイショウ</t>
    </rPh>
    <rPh sb="9" eb="12">
      <t>サンダマチ</t>
    </rPh>
    <rPh sb="12" eb="14">
      <t>チョウザイ</t>
    </rPh>
    <rPh sb="14" eb="16">
      <t>ヤッキョク</t>
    </rPh>
    <rPh sb="21" eb="23">
      <t>ヘンコウ</t>
    </rPh>
    <rPh sb="23" eb="24">
      <t>ナ</t>
    </rPh>
    <rPh sb="30" eb="31">
      <t>レイ</t>
    </rPh>
    <rPh sb="31" eb="32">
      <t>ワ</t>
    </rPh>
    <rPh sb="32" eb="33">
      <t>ガン</t>
    </rPh>
    <phoneticPr fontId="6"/>
  </si>
  <si>
    <t>2-10</t>
  </si>
  <si>
    <t>ミネ薬局　南大沢店</t>
  </si>
  <si>
    <t>192-0364</t>
    <phoneticPr fontId="6"/>
  </si>
  <si>
    <t>八王子市南大沢２－２ パオレビル４階</t>
  </si>
  <si>
    <t>042-677-9199</t>
  </si>
  <si>
    <t>有限会社ミネ薬局</t>
  </si>
  <si>
    <t>193-0944</t>
    <phoneticPr fontId="6"/>
  </si>
  <si>
    <t>八王子市館町１０９７</t>
    <rPh sb="0" eb="4">
      <t>ハチオウジシ</t>
    </rPh>
    <rPh sb="4" eb="6">
      <t>タテマチ</t>
    </rPh>
    <phoneticPr fontId="6"/>
  </si>
  <si>
    <t>笠原　武尊</t>
    <rPh sb="0" eb="2">
      <t>カサハラ</t>
    </rPh>
    <rPh sb="3" eb="4">
      <t>タケル</t>
    </rPh>
    <rPh sb="4" eb="5">
      <t>ソン</t>
    </rPh>
    <phoneticPr fontId="6"/>
  </si>
  <si>
    <t>変更届（鎌田　鈴子、～令和5年8月31日）</t>
    <rPh sb="0" eb="2">
      <t>ヘンコウ</t>
    </rPh>
    <rPh sb="2" eb="3">
      <t>トド</t>
    </rPh>
    <rPh sb="11" eb="13">
      <t>レイワ</t>
    </rPh>
    <rPh sb="14" eb="15">
      <t>トシ</t>
    </rPh>
    <rPh sb="16" eb="17">
      <t>ツキ</t>
    </rPh>
    <rPh sb="19" eb="20">
      <t>ヒ</t>
    </rPh>
    <phoneticPr fontId="5"/>
  </si>
  <si>
    <t>19福保障計第1182号</t>
    <rPh sb="2" eb="3">
      <t>フク</t>
    </rPh>
    <rPh sb="3" eb="4">
      <t>ホ</t>
    </rPh>
    <rPh sb="4" eb="5">
      <t>ショウ</t>
    </rPh>
    <rPh sb="5" eb="6">
      <t>ケイ</t>
    </rPh>
    <rPh sb="6" eb="7">
      <t>ダイ</t>
    </rPh>
    <rPh sb="11" eb="12">
      <t>ゴウ</t>
    </rPh>
    <phoneticPr fontId="5"/>
  </si>
  <si>
    <t>7八福障第6127号</t>
    <rPh sb="1" eb="2">
      <t>ヤツ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</si>
  <si>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2-11</t>
  </si>
  <si>
    <t>中山薬局　散田店</t>
  </si>
  <si>
    <t>八王子市散田町３－１３－５</t>
  </si>
  <si>
    <t>042-667-4589</t>
  </si>
  <si>
    <t>熊澤　圭太</t>
    <rPh sb="0" eb="2">
      <t>クマザワ</t>
    </rPh>
    <rPh sb="3" eb="5">
      <t>ケイタ</t>
    </rPh>
    <phoneticPr fontId="6"/>
  </si>
  <si>
    <t>変更届（指田　幸、～平成27年12月31日）</t>
    <rPh sb="0" eb="2">
      <t>ヘンコウ</t>
    </rPh>
    <rPh sb="2" eb="3">
      <t>トド</t>
    </rPh>
    <rPh sb="10" eb="12">
      <t>ヘイセイ</t>
    </rPh>
    <rPh sb="14" eb="15">
      <t>トシ</t>
    </rPh>
    <rPh sb="17" eb="18">
      <t>ツキ</t>
    </rPh>
    <rPh sb="20" eb="21">
      <t>ヒ</t>
    </rPh>
    <phoneticPr fontId="5"/>
  </si>
  <si>
    <t>6八福障第5664号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</si>
  <si>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2-12</t>
  </si>
  <si>
    <t>○</t>
    <phoneticPr fontId="6"/>
  </si>
  <si>
    <t>大岩薬局</t>
  </si>
  <si>
    <t>192-0904</t>
  </si>
  <si>
    <t>八王子市子安町３－７－１３</t>
  </si>
  <si>
    <t>042-625-2102</t>
  </si>
  <si>
    <t>有限会社大岩薬局</t>
  </si>
  <si>
    <t>東京都八王子市散田町２－４３－８</t>
    <rPh sb="0" eb="3">
      <t>トウキョウト</t>
    </rPh>
    <rPh sb="3" eb="6">
      <t>ハチオウジ</t>
    </rPh>
    <rPh sb="6" eb="7">
      <t>シ</t>
    </rPh>
    <rPh sb="7" eb="10">
      <t>サンダマチ</t>
    </rPh>
    <phoneticPr fontId="5"/>
  </si>
  <si>
    <t>村松　知英子</t>
    <rPh sb="0" eb="2">
      <t>ムラマツ</t>
    </rPh>
    <rPh sb="3" eb="6">
      <t>チエコ</t>
    </rPh>
    <phoneticPr fontId="5"/>
  </si>
  <si>
    <t>18福保障計第1040号</t>
  </si>
  <si>
    <t>24福保障計第1132号</t>
  </si>
  <si>
    <t>有効期限到来により失効（～平成30年11月30日）</t>
    <rPh sb="0" eb="2">
      <t>ユウコウ</t>
    </rPh>
    <rPh sb="2" eb="4">
      <t>キゲン</t>
    </rPh>
    <rPh sb="4" eb="6">
      <t>トウライ</t>
    </rPh>
    <rPh sb="9" eb="11">
      <t>シッコウ</t>
    </rPh>
    <rPh sb="13" eb="15">
      <t>ヘイセイ</t>
    </rPh>
    <rPh sb="17" eb="18">
      <t>ネン</t>
    </rPh>
    <rPh sb="20" eb="21">
      <t>ガツ</t>
    </rPh>
    <rPh sb="23" eb="24">
      <t>ニチ</t>
    </rPh>
    <phoneticPr fontId="6"/>
  </si>
  <si>
    <t>2-13</t>
  </si>
  <si>
    <t>西八王子調剤薬局</t>
  </si>
  <si>
    <t>八王子市散田町３－９－１５</t>
  </si>
  <si>
    <t>042-667-3100</t>
  </si>
  <si>
    <t>株式会社八王子薬剤センター</t>
    <rPh sb="4" eb="9">
      <t>ハチオウジヤクザイ</t>
    </rPh>
    <phoneticPr fontId="6"/>
  </si>
  <si>
    <t>東京都八王子市館町１０９７</t>
    <rPh sb="0" eb="3">
      <t>トウキョウト</t>
    </rPh>
    <rPh sb="3" eb="7">
      <t>ハチオウジシ</t>
    </rPh>
    <rPh sb="7" eb="9">
      <t>タテマチ</t>
    </rPh>
    <phoneticPr fontId="5"/>
  </si>
  <si>
    <t>和久田　光宣</t>
    <rPh sb="0" eb="3">
      <t>ワクダ</t>
    </rPh>
    <rPh sb="4" eb="6">
      <t>ミツノブ</t>
    </rPh>
    <phoneticPr fontId="5"/>
  </si>
  <si>
    <t>変更届（福谷　桂　～令和4年6月30日）</t>
    <rPh sb="0" eb="3">
      <t>ヘンコウトドケ</t>
    </rPh>
    <rPh sb="4" eb="6">
      <t>フクタニ</t>
    </rPh>
    <rPh sb="7" eb="8">
      <t>カツラ</t>
    </rPh>
    <rPh sb="10" eb="12">
      <t>レイワ</t>
    </rPh>
    <rPh sb="13" eb="14">
      <t>ネン</t>
    </rPh>
    <rPh sb="15" eb="16">
      <t>ガツ</t>
    </rPh>
    <rPh sb="18" eb="19">
      <t>ニチ</t>
    </rPh>
    <phoneticPr fontId="5"/>
  </si>
  <si>
    <t>6八福障第5241号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</si>
  <si>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変更届(鍵谷　朋子  、～平成20年６月21日）</t>
    <phoneticPr fontId="6"/>
  </si>
  <si>
    <t>変更届（代表取締役：茂木　徹→橘　隆二、変更日：令和5年6月19日）</t>
    <rPh sb="0" eb="3">
      <t>ヘンコウトドケ</t>
    </rPh>
    <rPh sb="4" eb="9">
      <t>ダイヒョウトリシマリヤク</t>
    </rPh>
    <rPh sb="10" eb="12">
      <t>モギ</t>
    </rPh>
    <rPh sb="13" eb="14">
      <t>トオル</t>
    </rPh>
    <rPh sb="15" eb="16">
      <t>タチバナ</t>
    </rPh>
    <rPh sb="17" eb="19">
      <t>リュウジ</t>
    </rPh>
    <rPh sb="20" eb="23">
      <t>ヘンコウビ</t>
    </rPh>
    <rPh sb="24" eb="26">
      <t>レイワ</t>
    </rPh>
    <rPh sb="27" eb="28">
      <t>ネン</t>
    </rPh>
    <rPh sb="29" eb="30">
      <t>ガツ</t>
    </rPh>
    <rPh sb="32" eb="33">
      <t>ニチ</t>
    </rPh>
    <phoneticPr fontId="6"/>
  </si>
  <si>
    <t>変更届（医療機関コード：2952158→2956373、開設者氏名：株式会社サム　代表取締役　橘　隆二→株式会社八王子薬剤センター　代表取締役　橘　隆二、開設者住所：東京都八王子市散田町3-9-15→東京都八王子市館町1097、変更日：令和8年4月1日）</t>
    <rPh sb="47" eb="48">
      <t>タチバナ</t>
    </rPh>
    <rPh sb="49" eb="51">
      <t>リュウジ</t>
    </rPh>
    <rPh sb="56" eb="59">
      <t>ハチオウジ</t>
    </rPh>
    <rPh sb="59" eb="61">
      <t>ヤクザイ</t>
    </rPh>
    <rPh sb="72" eb="73">
      <t>タチバナ</t>
    </rPh>
    <rPh sb="74" eb="76">
      <t>リュウジ</t>
    </rPh>
    <rPh sb="86" eb="90">
      <t>ハチオウジシ</t>
    </rPh>
    <rPh sb="90" eb="93">
      <t>サンダマチ</t>
    </rPh>
    <rPh sb="100" eb="103">
      <t>トウキョウト</t>
    </rPh>
    <rPh sb="103" eb="107">
      <t>ハチオウジシ</t>
    </rPh>
    <rPh sb="107" eb="109">
      <t>タテマチ</t>
    </rPh>
    <phoneticPr fontId="6"/>
  </si>
  <si>
    <t>2-14</t>
  </si>
  <si>
    <t>たちばな調剤薬局</t>
  </si>
  <si>
    <t>八王子市子安町２－４－１０</t>
  </si>
  <si>
    <t>042-656-0891</t>
  </si>
  <si>
    <t>有限会社アルトゥーア</t>
  </si>
  <si>
    <t>東京都八王子市子安町２－４－１０</t>
    <rPh sb="0" eb="3">
      <t>トウキョウト</t>
    </rPh>
    <rPh sb="3" eb="7">
      <t>ハチオウジシ</t>
    </rPh>
    <phoneticPr fontId="5"/>
  </si>
  <si>
    <t>橘　隆二</t>
    <rPh sb="0" eb="1">
      <t>タチバナ</t>
    </rPh>
    <rPh sb="2" eb="4">
      <t>リュウジ</t>
    </rPh>
    <phoneticPr fontId="5"/>
  </si>
  <si>
    <t>6八福障第5175号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</si>
  <si>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2-15</t>
  </si>
  <si>
    <t>ユニスマイル薬局　旭町店</t>
    <rPh sb="6" eb="8">
      <t>ヤッキョク</t>
    </rPh>
    <rPh sb="9" eb="11">
      <t>アサヒチョウ</t>
    </rPh>
    <rPh sb="11" eb="12">
      <t>テン</t>
    </rPh>
    <phoneticPr fontId="6"/>
  </si>
  <si>
    <t>192-0083</t>
  </si>
  <si>
    <t>八王子市旭町１０－１３　カネダイビル１階</t>
  </si>
  <si>
    <t>042-646-4419</t>
  </si>
  <si>
    <t>株式会社ユニスマイル</t>
    <rPh sb="0" eb="2">
      <t>カブシキ</t>
    </rPh>
    <rPh sb="2" eb="4">
      <t>カイシャ</t>
    </rPh>
    <phoneticPr fontId="6"/>
  </si>
  <si>
    <t>101-0022</t>
    <phoneticPr fontId="6"/>
  </si>
  <si>
    <t>東京都千代田区神田練塀町68番地1　
ムラタヤビル3階</t>
    <rPh sb="0" eb="3">
      <t>トウキョウト</t>
    </rPh>
    <rPh sb="3" eb="7">
      <t>チヨダク</t>
    </rPh>
    <rPh sb="7" eb="9">
      <t>カンダ</t>
    </rPh>
    <rPh sb="9" eb="10">
      <t>レン</t>
    </rPh>
    <rPh sb="10" eb="11">
      <t>ヘイ</t>
    </rPh>
    <rPh sb="11" eb="12">
      <t>マチ</t>
    </rPh>
    <rPh sb="14" eb="16">
      <t>バンチ</t>
    </rPh>
    <rPh sb="26" eb="27">
      <t>カイ</t>
    </rPh>
    <phoneticPr fontId="5"/>
  </si>
  <si>
    <t>三橋　由美</t>
    <rPh sb="0" eb="2">
      <t>ミハシ</t>
    </rPh>
    <rPh sb="3" eb="5">
      <t>ユミ</t>
    </rPh>
    <phoneticPr fontId="5"/>
  </si>
  <si>
    <t>30八福障収第703号</t>
    <rPh sb="2" eb="3">
      <t>ハチ</t>
    </rPh>
    <rPh sb="5" eb="6">
      <t>シュウ</t>
    </rPh>
    <phoneticPr fontId="6"/>
  </si>
  <si>
    <t>変更届（薬局所在地（八王子市旭町１０－１３　東銀ビル１階　(ｺｰﾄﾞ変更無)→）、～平成24年５月28日）</t>
    <rPh sb="0" eb="2">
      <t>ヘンコウ</t>
    </rPh>
    <rPh sb="2" eb="3">
      <t>トド</t>
    </rPh>
    <rPh sb="4" eb="6">
      <t>ヤッキョク</t>
    </rPh>
    <rPh sb="6" eb="9">
      <t>ショザイチ</t>
    </rPh>
    <rPh sb="34" eb="36">
      <t>ヘンコウ</t>
    </rPh>
    <rPh sb="36" eb="37">
      <t>ナ</t>
    </rPh>
    <rPh sb="42" eb="44">
      <t>ヘイセイ</t>
    </rPh>
    <rPh sb="46" eb="47">
      <t>ネン</t>
    </rPh>
    <rPh sb="48" eb="49">
      <t>ガツ</t>
    </rPh>
    <rPh sb="51" eb="52">
      <t>ニチ</t>
    </rPh>
    <phoneticPr fontId="5"/>
  </si>
  <si>
    <t>変更届（開設者所在地（八王子市散田町５－１－１３→）、～平成28年４月１日）</t>
    <rPh sb="0" eb="3">
      <t>ヘンコウトドケ</t>
    </rPh>
    <rPh sb="4" eb="7">
      <t>カイセツシャ</t>
    </rPh>
    <rPh sb="7" eb="10">
      <t>ショザイチ</t>
    </rPh>
    <phoneticPr fontId="6"/>
  </si>
  <si>
    <t>変更届（開設者名称　(エムアンドエス有限会社)、開設者住所（八王子市東町2－12京王八王子東町ビル1F102）、医療機関コード(1342952208)～令和2年2月1日）</t>
    <rPh sb="0" eb="3">
      <t>ヘンコウトドケ</t>
    </rPh>
    <rPh sb="4" eb="7">
      <t>カイセツシャ</t>
    </rPh>
    <rPh sb="7" eb="9">
      <t>メイショウ</t>
    </rPh>
    <rPh sb="18" eb="22">
      <t>ユウゲンガイシャ</t>
    </rPh>
    <rPh sb="24" eb="27">
      <t>カイセツシャ</t>
    </rPh>
    <rPh sb="27" eb="29">
      <t>ジュウショ</t>
    </rPh>
    <rPh sb="34" eb="36">
      <t>アズマチョウ</t>
    </rPh>
    <rPh sb="40" eb="45">
      <t>ケイオウハチオウジ</t>
    </rPh>
    <rPh sb="45" eb="47">
      <t>アズマチョウ</t>
    </rPh>
    <rPh sb="56" eb="58">
      <t>イリョウ</t>
    </rPh>
    <rPh sb="58" eb="60">
      <t>キカン</t>
    </rPh>
    <rPh sb="76" eb="78">
      <t>レイワ</t>
    </rPh>
    <rPh sb="79" eb="80">
      <t>ネン</t>
    </rPh>
    <rPh sb="81" eb="82">
      <t>ガツ</t>
    </rPh>
    <rPh sb="83" eb="84">
      <t>ニチ</t>
    </rPh>
    <phoneticPr fontId="6"/>
  </si>
  <si>
    <t>変更届（開設者氏名変更（島田　光明→白　成澤））～令和３年４月１日</t>
    <rPh sb="0" eb="2">
      <t>ヘンコウ</t>
    </rPh>
    <rPh sb="2" eb="3">
      <t>トドケ</t>
    </rPh>
    <rPh sb="4" eb="7">
      <t>カイセツシャ</t>
    </rPh>
    <rPh sb="7" eb="9">
      <t>シメイ</t>
    </rPh>
    <rPh sb="9" eb="11">
      <t>ヘンコウ</t>
    </rPh>
    <rPh sb="12" eb="14">
      <t>シマダ</t>
    </rPh>
    <rPh sb="15" eb="17">
      <t>ミツアキ</t>
    </rPh>
    <rPh sb="18" eb="19">
      <t>シロ</t>
    </rPh>
    <rPh sb="20" eb="21">
      <t>セイ</t>
    </rPh>
    <rPh sb="21" eb="22">
      <t>サワ</t>
    </rPh>
    <rPh sb="25" eb="27">
      <t>レイワ</t>
    </rPh>
    <rPh sb="28" eb="29">
      <t>ネン</t>
    </rPh>
    <rPh sb="30" eb="31">
      <t>ガツ</t>
    </rPh>
    <rPh sb="32" eb="33">
      <t>ニチ</t>
    </rPh>
    <phoneticPr fontId="6"/>
  </si>
  <si>
    <t>変更届（開設者所在地（東京都千代田区神田練塀町68番地1　ムラタヤビル2階→）、～令和3年9月1日）</t>
    <rPh sb="41" eb="43">
      <t>レイワ</t>
    </rPh>
    <rPh sb="44" eb="45">
      <t>ネン</t>
    </rPh>
    <rPh sb="46" eb="47">
      <t>ガツ</t>
    </rPh>
    <rPh sb="48" eb="49">
      <t>ニチ</t>
    </rPh>
    <phoneticPr fontId="6"/>
  </si>
  <si>
    <t>変更届
（開設者:株式会社ファーコス　白　成澤→株式会社ユニスマイル　白　成澤、～令和4年3月31日）</t>
    <rPh sb="9" eb="11">
      <t>カブシキ</t>
    </rPh>
    <rPh sb="11" eb="13">
      <t>カイシャ</t>
    </rPh>
    <rPh sb="19" eb="20">
      <t>シロ</t>
    </rPh>
    <rPh sb="21" eb="22">
      <t>ナ</t>
    </rPh>
    <rPh sb="22" eb="23">
      <t>サワ</t>
    </rPh>
    <phoneticPr fontId="6"/>
  </si>
  <si>
    <t>変更届（指定医療機関名称：旭町薬局→ユニスマイル薬局　旭町店、変更日：令和6年4月1日）</t>
    <rPh sb="0" eb="3">
      <t>ヘンコウトドケ</t>
    </rPh>
    <rPh sb="4" eb="10">
      <t>シテイイリョウキカン</t>
    </rPh>
    <rPh sb="10" eb="12">
      <t>メイショウ</t>
    </rPh>
    <rPh sb="13" eb="15">
      <t>アサヒマチ</t>
    </rPh>
    <rPh sb="15" eb="17">
      <t>ヤッキョク</t>
    </rPh>
    <rPh sb="24" eb="26">
      <t>ヤッキョク</t>
    </rPh>
    <rPh sb="27" eb="30">
      <t>アサヒチョウテン</t>
    </rPh>
    <rPh sb="31" eb="34">
      <t>ヘンコウビ</t>
    </rPh>
    <rPh sb="35" eb="37">
      <t>レイワ</t>
    </rPh>
    <rPh sb="38" eb="39">
      <t>ネン</t>
    </rPh>
    <rPh sb="40" eb="41">
      <t>ガツ</t>
    </rPh>
    <rPh sb="42" eb="43">
      <t>ニチ</t>
    </rPh>
    <phoneticPr fontId="6"/>
  </si>
  <si>
    <t>2-16</t>
  </si>
  <si>
    <t>中山薬局　北野駅前店</t>
  </si>
  <si>
    <t>192-0911</t>
  </si>
  <si>
    <t>八王子市打越町３４４－６　カリヨンプラス１階</t>
  </si>
  <si>
    <t>042-644-5688</t>
  </si>
  <si>
    <t>紺野　龍平</t>
    <rPh sb="0" eb="2">
      <t>コンノ</t>
    </rPh>
    <rPh sb="3" eb="5">
      <t>リュウヘイ</t>
    </rPh>
    <phoneticPr fontId="6"/>
  </si>
  <si>
    <t>変更届(大牛　悠介、～令和7年8月31日）</t>
    <rPh sb="0" eb="2">
      <t>ヘンコウ</t>
    </rPh>
    <rPh sb="2" eb="3">
      <t>トドケ</t>
    </rPh>
    <rPh sb="11" eb="13">
      <t>レイワ</t>
    </rPh>
    <rPh sb="14" eb="15">
      <t>ネン</t>
    </rPh>
    <rPh sb="16" eb="17">
      <t>ツキ</t>
    </rPh>
    <rPh sb="19" eb="20">
      <t>ヒ</t>
    </rPh>
    <phoneticPr fontId="5"/>
  </si>
  <si>
    <t>6八福障第5665号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</si>
  <si>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2-17</t>
  </si>
  <si>
    <t>ユキワ薬局</t>
  </si>
  <si>
    <t>192-0364</t>
  </si>
  <si>
    <t>八王子市南大沢２－２７　フレスコ南大沢</t>
  </si>
  <si>
    <t>042-679-5036</t>
  </si>
  <si>
    <t>有限会社ユキワ</t>
  </si>
  <si>
    <t>東京都八王子市南大沢２－２７　フレスコ南大沢</t>
    <rPh sb="0" eb="2">
      <t>トウキョウ</t>
    </rPh>
    <rPh sb="2" eb="3">
      <t>ト</t>
    </rPh>
    <phoneticPr fontId="5"/>
  </si>
  <si>
    <t>溝口　由喜和</t>
    <rPh sb="0" eb="2">
      <t>ミゾグチ</t>
    </rPh>
    <rPh sb="3" eb="4">
      <t>ヨシ</t>
    </rPh>
    <rPh sb="4" eb="6">
      <t>ヨシカズ</t>
    </rPh>
    <phoneticPr fontId="5"/>
  </si>
  <si>
    <t>6八福障第6850号</t>
    <phoneticPr fontId="6"/>
  </si>
  <si>
    <t>変更届（代表取締役：溝口　由喜和→溝口　耀子、変更日：令和７年１月20日）</t>
    <rPh sb="0" eb="3">
      <t>ヘンコウトドケ</t>
    </rPh>
    <rPh sb="4" eb="9">
      <t>ダイヒョウトリシマリヤク</t>
    </rPh>
    <rPh sb="17" eb="19">
      <t>ミゾグチ</t>
    </rPh>
    <rPh sb="20" eb="21">
      <t>ヨウ</t>
    </rPh>
    <rPh sb="21" eb="22">
      <t>コ</t>
    </rPh>
    <rPh sb="23" eb="26">
      <t>ヘンコウビ</t>
    </rPh>
    <rPh sb="27" eb="29">
      <t>レイワ</t>
    </rPh>
    <rPh sb="30" eb="31">
      <t>ネン</t>
    </rPh>
    <rPh sb="32" eb="33">
      <t>ガツ</t>
    </rPh>
    <rPh sb="35" eb="36">
      <t>ニチ</t>
    </rPh>
    <phoneticPr fontId="6"/>
  </si>
  <si>
    <t>2-18</t>
  </si>
  <si>
    <t>こぐま薬局</t>
  </si>
  <si>
    <t>193-0931</t>
  </si>
  <si>
    <t>八王子市台町３－１６－１６</t>
  </si>
  <si>
    <t>042-627-7743</t>
  </si>
  <si>
    <t>有限会社こぐま</t>
  </si>
  <si>
    <t>東京都八王子市台町３－１６－１６</t>
    <rPh sb="0" eb="3">
      <t>トウキョウト</t>
    </rPh>
    <rPh sb="3" eb="6">
      <t>ハチオウジ</t>
    </rPh>
    <phoneticPr fontId="5"/>
  </si>
  <si>
    <t>大隈　良太</t>
    <rPh sb="0" eb="2">
      <t>オオクマ</t>
    </rPh>
    <rPh sb="3" eb="5">
      <t>リョウタ</t>
    </rPh>
    <phoneticPr fontId="5"/>
  </si>
  <si>
    <t>変更届（早川　ひろ美、～令和5年9月20日）</t>
    <rPh sb="0" eb="2">
      <t>ヘンコウ</t>
    </rPh>
    <rPh sb="2" eb="3">
      <t>トド</t>
    </rPh>
    <rPh sb="12" eb="14">
      <t>レイワ</t>
    </rPh>
    <rPh sb="15" eb="16">
      <t>トシ</t>
    </rPh>
    <rPh sb="17" eb="18">
      <t>ツキ</t>
    </rPh>
    <rPh sb="20" eb="21">
      <t>ヒ</t>
    </rPh>
    <phoneticPr fontId="5"/>
  </si>
  <si>
    <t>6八福障第6739号</t>
    <phoneticPr fontId="6"/>
  </si>
  <si>
    <t>2-19</t>
  </si>
  <si>
    <t>東町薬局</t>
  </si>
  <si>
    <t>192-0082</t>
  </si>
  <si>
    <t>八王子市東町７－６　ダヴィンチビル２階</t>
  </si>
  <si>
    <t>042-645-2577</t>
  </si>
  <si>
    <t>エムアンドエス有限会社</t>
  </si>
  <si>
    <t>東京都八王子市散田町５－１－１３</t>
    <rPh sb="0" eb="3">
      <t>トウキョウト</t>
    </rPh>
    <rPh sb="3" eb="6">
      <t>ハチオウジ</t>
    </rPh>
    <rPh sb="6" eb="7">
      <t>シ</t>
    </rPh>
    <rPh sb="7" eb="10">
      <t>サンダマチ</t>
    </rPh>
    <phoneticPr fontId="5"/>
  </si>
  <si>
    <t>松本　瑞恵</t>
    <rPh sb="0" eb="2">
      <t>マツモト</t>
    </rPh>
    <rPh sb="3" eb="5">
      <t>ミズエ</t>
    </rPh>
    <phoneticPr fontId="5"/>
  </si>
  <si>
    <t>変更届(小野　孝子、～平成21年２月28日）</t>
    <rPh sb="0" eb="2">
      <t>ヘンコウ</t>
    </rPh>
    <rPh sb="2" eb="3">
      <t>トドケ</t>
    </rPh>
    <rPh sb="11" eb="13">
      <t>ヘイセイ</t>
    </rPh>
    <rPh sb="15" eb="16">
      <t>ネン</t>
    </rPh>
    <rPh sb="17" eb="18">
      <t>ガツ</t>
    </rPh>
    <rPh sb="20" eb="21">
      <t>ニチ</t>
    </rPh>
    <phoneticPr fontId="5"/>
  </si>
  <si>
    <t>廃止届（平成30年４月13日廃止、薬局廃止）</t>
    <rPh sb="17" eb="19">
      <t>ヤッキョク</t>
    </rPh>
    <rPh sb="19" eb="21">
      <t>ハイシ</t>
    </rPh>
    <phoneticPr fontId="5"/>
  </si>
  <si>
    <t>2-20</t>
  </si>
  <si>
    <t>たちばな薬局　長房店</t>
  </si>
  <si>
    <t>193-0824</t>
  </si>
  <si>
    <t>八王子市長房町５２０－５２－１０８</t>
  </si>
  <si>
    <t>042-673-7123</t>
  </si>
  <si>
    <t>鈴木　敏之</t>
    <rPh sb="0" eb="2">
      <t>スズキ</t>
    </rPh>
    <rPh sb="3" eb="5">
      <t>トシユキ</t>
    </rPh>
    <phoneticPr fontId="5"/>
  </si>
  <si>
    <t>18福保障計第940号</t>
    <rPh sb="2" eb="3">
      <t>フク</t>
    </rPh>
    <rPh sb="3" eb="5">
      <t>ホショウ</t>
    </rPh>
    <rPh sb="5" eb="6">
      <t>ケイ</t>
    </rPh>
    <rPh sb="6" eb="7">
      <t>ダイ</t>
    </rPh>
    <rPh sb="10" eb="11">
      <t>ゴウ</t>
    </rPh>
    <phoneticPr fontId="5"/>
  </si>
  <si>
    <t>廃止届（平成23年６月30日廃止、薬局廃業）</t>
    <rPh sb="17" eb="19">
      <t>ヤッキョク</t>
    </rPh>
    <rPh sb="19" eb="21">
      <t>ハイギョウ</t>
    </rPh>
    <phoneticPr fontId="5"/>
  </si>
  <si>
    <t>2-21</t>
  </si>
  <si>
    <t>桃源薬局</t>
  </si>
  <si>
    <t>192-0002</t>
  </si>
  <si>
    <t>八王子市高月町３６５－１</t>
  </si>
  <si>
    <t>042-692-3354</t>
  </si>
  <si>
    <t>磯部　樹里</t>
    <phoneticPr fontId="6"/>
  </si>
  <si>
    <t>400-0856</t>
    <phoneticPr fontId="6"/>
  </si>
  <si>
    <t>山梨県甲府市伊勢4-1-18</t>
    <rPh sb="0" eb="3">
      <t>ヤマナシケン</t>
    </rPh>
    <rPh sb="3" eb="6">
      <t>コウフシ</t>
    </rPh>
    <rPh sb="6" eb="8">
      <t>イセ</t>
    </rPh>
    <phoneticPr fontId="6"/>
  </si>
  <si>
    <t>青木　康宏</t>
    <rPh sb="0" eb="2">
      <t>アオキ</t>
    </rPh>
    <rPh sb="3" eb="4">
      <t>ヤス</t>
    </rPh>
    <rPh sb="4" eb="5">
      <t>ヒロシ</t>
    </rPh>
    <phoneticPr fontId="6"/>
  </si>
  <si>
    <t>変更届（栗原　章、～平成31年2月28日）</t>
    <rPh sb="0" eb="2">
      <t>ヘンコウ</t>
    </rPh>
    <rPh sb="2" eb="3">
      <t>トド</t>
    </rPh>
    <rPh sb="10" eb="12">
      <t>ヘイセイ</t>
    </rPh>
    <rPh sb="14" eb="15">
      <t>トシ</t>
    </rPh>
    <rPh sb="16" eb="17">
      <t>ツキ</t>
    </rPh>
    <rPh sb="19" eb="20">
      <t>ヒ</t>
    </rPh>
    <phoneticPr fontId="5"/>
  </si>
  <si>
    <t>6八福障第5243号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</si>
  <si>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変更届（開設者住所（東京都昭島市松原町４－１１－１１　サクラメディカルビル１０１→）、～平成30年５月14日）</t>
    <rPh sb="0" eb="3">
      <t>ヘンコウトドケ</t>
    </rPh>
    <rPh sb="4" eb="7">
      <t>カイセツシャ</t>
    </rPh>
    <rPh sb="7" eb="9">
      <t>ジュウショ</t>
    </rPh>
    <rPh sb="44" eb="46">
      <t>ヘイセイ</t>
    </rPh>
    <rPh sb="48" eb="49">
      <t>ネン</t>
    </rPh>
    <rPh sb="50" eb="51">
      <t>ガツ</t>
    </rPh>
    <rPh sb="53" eb="54">
      <t>ニチ</t>
    </rPh>
    <phoneticPr fontId="6"/>
  </si>
  <si>
    <t>変更届（開設者氏名：サクラメディカル株式会社→田中　正仁、開設者住所：東京都八王子市大横町2-17→山梨県南アルプス市荊沢1304、医療機関コード：2952471→2955870、変更日：令和4年2月1日）</t>
    <rPh sb="23" eb="25">
      <t>タナカ</t>
    </rPh>
    <rPh sb="26" eb="28">
      <t>マサヒト</t>
    </rPh>
    <rPh sb="38" eb="42">
      <t>ハチオウジシ</t>
    </rPh>
    <rPh sb="42" eb="45">
      <t>オオヨコチョウ</t>
    </rPh>
    <rPh sb="50" eb="53">
      <t>ヤマナシケン</t>
    </rPh>
    <rPh sb="53" eb="54">
      <t>ミナミ</t>
    </rPh>
    <rPh sb="58" eb="59">
      <t>シ</t>
    </rPh>
    <phoneticPr fontId="6"/>
  </si>
  <si>
    <t>変更届（開設者氏名：田中　正仁→磯部　樹里、開設者住所：山梨県南アルプス市荊沢1304→山梨県甲府市伊勢4-1-18、医療機関コード：2955870→2956399、変更日：令和8年5月1日）</t>
    <rPh sb="16" eb="18">
      <t>イソベ</t>
    </rPh>
    <rPh sb="19" eb="21">
      <t>ジュリ</t>
    </rPh>
    <rPh sb="47" eb="50">
      <t>コウフシ</t>
    </rPh>
    <rPh sb="50" eb="52">
      <t>イセ</t>
    </rPh>
    <phoneticPr fontId="6"/>
  </si>
  <si>
    <t>2-22</t>
  </si>
  <si>
    <t>アオイ薬局</t>
  </si>
  <si>
    <t>192-0042</t>
  </si>
  <si>
    <t>八王子市中野山王３－１－２　</t>
  </si>
  <si>
    <t>042-627-1651</t>
  </si>
  <si>
    <t>株式会社ライラック</t>
  </si>
  <si>
    <t>145-0071</t>
  </si>
  <si>
    <t>東京都大田区田園調布２－４２－１８</t>
    <rPh sb="0" eb="3">
      <t>トウキョウト</t>
    </rPh>
    <phoneticPr fontId="5"/>
  </si>
  <si>
    <t>小川　恵太</t>
    <rPh sb="0" eb="2">
      <t>オガワ</t>
    </rPh>
    <rPh sb="3" eb="5">
      <t>ケイタ</t>
    </rPh>
    <phoneticPr fontId="6"/>
  </si>
  <si>
    <t>変更届（土屋　良夫、～令和7年10月31日）</t>
    <rPh sb="0" eb="2">
      <t>ヘンコウ</t>
    </rPh>
    <rPh sb="2" eb="3">
      <t>トド</t>
    </rPh>
    <rPh sb="11" eb="13">
      <t>レイワ</t>
    </rPh>
    <rPh sb="14" eb="15">
      <t>トシ</t>
    </rPh>
    <rPh sb="17" eb="18">
      <t>ツキ</t>
    </rPh>
    <rPh sb="20" eb="21">
      <t>ヒ</t>
    </rPh>
    <phoneticPr fontId="5"/>
  </si>
  <si>
    <t>6八福障第5268号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</si>
  <si>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2-23</t>
  </si>
  <si>
    <t>くぬぎだ薬局</t>
  </si>
  <si>
    <t>193-0942</t>
  </si>
  <si>
    <t>八王子市椚田町２４１　第２藤ビル１０２</t>
  </si>
  <si>
    <t>042-665-2032</t>
  </si>
  <si>
    <t>株式会社ムラタ</t>
    <rPh sb="0" eb="2">
      <t>カブシキ</t>
    </rPh>
    <phoneticPr fontId="5"/>
  </si>
  <si>
    <t>192-0916</t>
  </si>
  <si>
    <t>八王子市みなみ野５－１－４</t>
    <rPh sb="0" eb="4">
      <t>ハチオウジシ</t>
    </rPh>
    <rPh sb="7" eb="8">
      <t>ノ</t>
    </rPh>
    <phoneticPr fontId="5"/>
  </si>
  <si>
    <t>西田　祐二</t>
    <rPh sb="0" eb="2">
      <t>ニシダ</t>
    </rPh>
    <rPh sb="3" eb="5">
      <t>ユウジ</t>
    </rPh>
    <phoneticPr fontId="5"/>
  </si>
  <si>
    <t>変更届（梅原　昌宏、～平成23年２月16日）</t>
    <rPh sb="0" eb="2">
      <t>ヘンコウ</t>
    </rPh>
    <rPh sb="2" eb="3">
      <t>トド</t>
    </rPh>
    <rPh sb="11" eb="13">
      <t>ヘイセイ</t>
    </rPh>
    <rPh sb="15" eb="16">
      <t>トシ</t>
    </rPh>
    <rPh sb="17" eb="18">
      <t>ツキ</t>
    </rPh>
    <rPh sb="20" eb="21">
      <t>ヒ</t>
    </rPh>
    <phoneticPr fontId="5"/>
  </si>
  <si>
    <t>25福保障計第274号</t>
  </si>
  <si>
    <t>変更届（開設者名称（有限会社ムラタ(ｺｰﾄﾞ変更無)→）、～平成23年２月16日）</t>
    <rPh sb="0" eb="2">
      <t>ヘンコウ</t>
    </rPh>
    <rPh sb="2" eb="3">
      <t>トド</t>
    </rPh>
    <rPh sb="4" eb="6">
      <t>カイセツ</t>
    </rPh>
    <rPh sb="6" eb="7">
      <t>シャ</t>
    </rPh>
    <rPh sb="7" eb="9">
      <t>メイショウ</t>
    </rPh>
    <rPh sb="22" eb="24">
      <t>ヘンコウ</t>
    </rPh>
    <rPh sb="24" eb="25">
      <t>ナ</t>
    </rPh>
    <rPh sb="30" eb="32">
      <t>ヘイセイ</t>
    </rPh>
    <rPh sb="34" eb="35">
      <t>ネン</t>
    </rPh>
    <rPh sb="36" eb="37">
      <t>ガツ</t>
    </rPh>
    <rPh sb="39" eb="40">
      <t>ニチ</t>
    </rPh>
    <phoneticPr fontId="5"/>
  </si>
  <si>
    <t>廃止届（平成26年11月30日廃止、廃業の為）</t>
    <rPh sb="0" eb="2">
      <t>ハイシ</t>
    </rPh>
    <rPh sb="2" eb="3">
      <t>トド</t>
    </rPh>
    <rPh sb="4" eb="6">
      <t>ヘイセイ</t>
    </rPh>
    <rPh sb="8" eb="9">
      <t>ネン</t>
    </rPh>
    <rPh sb="11" eb="12">
      <t>ガツ</t>
    </rPh>
    <rPh sb="14" eb="15">
      <t>ニチ</t>
    </rPh>
    <rPh sb="15" eb="17">
      <t>ハイシ</t>
    </rPh>
    <rPh sb="18" eb="20">
      <t>ハイギョウ</t>
    </rPh>
    <rPh sb="21" eb="22">
      <t>タメ</t>
    </rPh>
    <phoneticPr fontId="5"/>
  </si>
  <si>
    <t>2-24</t>
  </si>
  <si>
    <t>若草薬局　横川店</t>
  </si>
  <si>
    <t>193-0823</t>
  </si>
  <si>
    <t>八王子市横川町８７３－４</t>
  </si>
  <si>
    <t>042-627-1195</t>
  </si>
  <si>
    <t>有限会社若草薬局</t>
  </si>
  <si>
    <t>221-0002</t>
    <phoneticPr fontId="6"/>
  </si>
  <si>
    <t>神奈川県横浜市神奈川区大口通１３５－１５</t>
    <rPh sb="0" eb="4">
      <t>カナガワケン</t>
    </rPh>
    <rPh sb="4" eb="6">
      <t>ヨコハマ</t>
    </rPh>
    <rPh sb="6" eb="7">
      <t>シ</t>
    </rPh>
    <rPh sb="7" eb="11">
      <t>カナガワク</t>
    </rPh>
    <rPh sb="11" eb="13">
      <t>オオグチ</t>
    </rPh>
    <rPh sb="13" eb="14">
      <t>ドオ</t>
    </rPh>
    <phoneticPr fontId="5"/>
  </si>
  <si>
    <t>横溝　智章</t>
    <rPh sb="0" eb="2">
      <t>ヨコミゾ</t>
    </rPh>
    <rPh sb="3" eb="5">
      <t>トモアキ</t>
    </rPh>
    <phoneticPr fontId="5"/>
  </si>
  <si>
    <t>変更届(島崎　啓、～平成29年7月1日)</t>
    <rPh sb="0" eb="3">
      <t>ヘンコウトドケ</t>
    </rPh>
    <rPh sb="4" eb="6">
      <t>シマザキ</t>
    </rPh>
    <rPh sb="7" eb="8">
      <t>ケイ</t>
    </rPh>
    <rPh sb="10" eb="12">
      <t>ヘイセイ</t>
    </rPh>
    <rPh sb="14" eb="15">
      <t>ネン</t>
    </rPh>
    <rPh sb="16" eb="17">
      <t>ガツ</t>
    </rPh>
    <rPh sb="18" eb="19">
      <t>ニチ</t>
    </rPh>
    <phoneticPr fontId="5"/>
  </si>
  <si>
    <t>30八福障収第745号</t>
    <rPh sb="2" eb="3">
      <t>ハチ</t>
    </rPh>
    <rPh sb="5" eb="6">
      <t>シュウ</t>
    </rPh>
    <phoneticPr fontId="6"/>
  </si>
  <si>
    <t>変更届（開設者（代表取締役）：髙橋　千惠子→青木　康、変更日：令和5年12月16日）</t>
    <rPh sb="4" eb="7">
      <t>カイセツシャ</t>
    </rPh>
    <rPh sb="8" eb="10">
      <t>ダイヒョウ</t>
    </rPh>
    <phoneticPr fontId="6"/>
  </si>
  <si>
    <t>2-25</t>
  </si>
  <si>
    <t>アイセイ薬局　子安町店</t>
    <rPh sb="4" eb="6">
      <t>ヤッキョク</t>
    </rPh>
    <rPh sb="7" eb="9">
      <t>コヤス</t>
    </rPh>
    <rPh sb="10" eb="11">
      <t>テン</t>
    </rPh>
    <phoneticPr fontId="6"/>
  </si>
  <si>
    <t>八王子市子安町３－７－１６</t>
  </si>
  <si>
    <t>042-621-1555</t>
  </si>
  <si>
    <t>株式会社アイセイ薬局</t>
    <rPh sb="0" eb="4">
      <t>カブシキガイシャ</t>
    </rPh>
    <rPh sb="8" eb="10">
      <t>ヤッキョク</t>
    </rPh>
    <phoneticPr fontId="6"/>
  </si>
  <si>
    <t>100-0005</t>
    <phoneticPr fontId="6"/>
  </si>
  <si>
    <t>東京都千代田区丸の内２－２－２</t>
    <rPh sb="0" eb="3">
      <t>トウキョウト</t>
    </rPh>
    <rPh sb="3" eb="7">
      <t>チヨダク</t>
    </rPh>
    <rPh sb="7" eb="8">
      <t>マル</t>
    </rPh>
    <rPh sb="9" eb="10">
      <t>ウチ</t>
    </rPh>
    <phoneticPr fontId="5"/>
  </si>
  <si>
    <t>日野　郁子</t>
    <rPh sb="0" eb="2">
      <t>ヒノ</t>
    </rPh>
    <rPh sb="3" eb="4">
      <t>カオル</t>
    </rPh>
    <rPh sb="4" eb="5">
      <t>コ</t>
    </rPh>
    <phoneticPr fontId="6"/>
  </si>
  <si>
    <t>変更届(小林　良樹、～令和3年4月1日)</t>
    <rPh sb="0" eb="2">
      <t>ヘンコウ</t>
    </rPh>
    <rPh sb="2" eb="3">
      <t>トド</t>
    </rPh>
    <rPh sb="11" eb="13">
      <t>レイワ</t>
    </rPh>
    <rPh sb="14" eb="15">
      <t>ネン</t>
    </rPh>
    <rPh sb="16" eb="17">
      <t>ガツ</t>
    </rPh>
    <rPh sb="18" eb="19">
      <t>ニチ</t>
    </rPh>
    <phoneticPr fontId="5"/>
  </si>
  <si>
    <t>19福保障計第1462号</t>
    <rPh sb="2" eb="3">
      <t>フク</t>
    </rPh>
    <rPh sb="3" eb="4">
      <t>ホ</t>
    </rPh>
    <rPh sb="4" eb="5">
      <t>ショウ</t>
    </rPh>
    <rPh sb="5" eb="6">
      <t>ケイ</t>
    </rPh>
    <rPh sb="6" eb="7">
      <t>ダイ</t>
    </rPh>
    <rPh sb="11" eb="12">
      <t>ゴウ</t>
    </rPh>
    <phoneticPr fontId="5"/>
  </si>
  <si>
    <t>7八福障第8160号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</si>
  <si>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変更届（医療機関名称（めいほう調剤薬局）→）（開設者名称（明芳産業株式会社(ｺｰド2952679)→）、開設者住所（八王子市子安町3-7-16）→、～平成29年10月1日））</t>
    <rPh sb="4" eb="6">
      <t>イリョウ</t>
    </rPh>
    <rPh sb="6" eb="8">
      <t>キカン</t>
    </rPh>
    <rPh sb="8" eb="10">
      <t>メイショウ</t>
    </rPh>
    <rPh sb="15" eb="17">
      <t>チョウザイ</t>
    </rPh>
    <rPh sb="17" eb="19">
      <t>ヤッキョク</t>
    </rPh>
    <rPh sb="31" eb="33">
      <t>サンギョウ</t>
    </rPh>
    <rPh sb="33" eb="37">
      <t>カブシキガイシャ</t>
    </rPh>
    <rPh sb="62" eb="65">
      <t>コヤスマチ</t>
    </rPh>
    <phoneticPr fontId="6"/>
  </si>
  <si>
    <t>変更届（管理薬剤師の氏名：塩入　郁子→日野　郁子、変更日：令和3年4月14日）</t>
    <rPh sb="0" eb="3">
      <t>ヘンコウトドケ</t>
    </rPh>
    <rPh sb="4" eb="9">
      <t>カンリヤクザイシ</t>
    </rPh>
    <rPh sb="10" eb="12">
      <t>シメイ</t>
    </rPh>
    <rPh sb="13" eb="15">
      <t>シオイリ</t>
    </rPh>
    <rPh sb="16" eb="18">
      <t>イクコ</t>
    </rPh>
    <rPh sb="19" eb="21">
      <t>ヒノ</t>
    </rPh>
    <rPh sb="22" eb="24">
      <t>イクコ</t>
    </rPh>
    <rPh sb="25" eb="28">
      <t>ヘンコウビ</t>
    </rPh>
    <rPh sb="29" eb="31">
      <t>レイワ</t>
    </rPh>
    <rPh sb="32" eb="33">
      <t>ネン</t>
    </rPh>
    <rPh sb="34" eb="35">
      <t>ガツ</t>
    </rPh>
    <rPh sb="37" eb="38">
      <t>ニチ</t>
    </rPh>
    <phoneticPr fontId="6"/>
  </si>
  <si>
    <t>2-26</t>
  </si>
  <si>
    <t>京八薬局　東町店</t>
  </si>
  <si>
    <t>八王子市東町２－１２　京王八王子東町ビル１階</t>
  </si>
  <si>
    <t>042-644-1345</t>
  </si>
  <si>
    <t>192-0082</t>
    <phoneticPr fontId="6"/>
  </si>
  <si>
    <t>東京都八王子市東町２－１２　京王八王子東町ビル１Ｆ　１０２</t>
    <rPh sb="0" eb="3">
      <t>トウキョウト</t>
    </rPh>
    <rPh sb="3" eb="6">
      <t>ハチオウジ</t>
    </rPh>
    <rPh sb="6" eb="7">
      <t>シ</t>
    </rPh>
    <rPh sb="7" eb="8">
      <t>アズマ</t>
    </rPh>
    <rPh sb="8" eb="9">
      <t>チョウ</t>
    </rPh>
    <rPh sb="14" eb="19">
      <t>ケイオウハチオウジ</t>
    </rPh>
    <rPh sb="19" eb="21">
      <t>アズマチョウ</t>
    </rPh>
    <phoneticPr fontId="5"/>
  </si>
  <si>
    <t>下原　町子</t>
    <rPh sb="0" eb="2">
      <t>シモハラ</t>
    </rPh>
    <rPh sb="3" eb="5">
      <t>マチコ</t>
    </rPh>
    <phoneticPr fontId="5"/>
  </si>
  <si>
    <t>30八福障収第702号</t>
    <rPh sb="2" eb="3">
      <t>ハチ</t>
    </rPh>
    <rPh sb="5" eb="6">
      <t>シュウ</t>
    </rPh>
    <phoneticPr fontId="6"/>
  </si>
  <si>
    <t>2-27</t>
  </si>
  <si>
    <t>神田成美堂薬局</t>
  </si>
  <si>
    <t>192-0053</t>
  </si>
  <si>
    <t>八王子市八幡町１２－４</t>
  </si>
  <si>
    <t>042-622-0520</t>
  </si>
  <si>
    <t>有限会社神田成美堂薬局</t>
  </si>
  <si>
    <t>東京都八王子市八幡町１２－４</t>
    <rPh sb="0" eb="3">
      <t>トウキョウト</t>
    </rPh>
    <rPh sb="3" eb="6">
      <t>ハチオウジ</t>
    </rPh>
    <rPh sb="6" eb="7">
      <t>シ</t>
    </rPh>
    <rPh sb="7" eb="10">
      <t>ハチマンマチ</t>
    </rPh>
    <phoneticPr fontId="5"/>
  </si>
  <si>
    <t>神田　佳津子</t>
    <rPh sb="0" eb="2">
      <t>カンダ</t>
    </rPh>
    <rPh sb="3" eb="4">
      <t>ヨシ</t>
    </rPh>
    <rPh sb="4" eb="5">
      <t>ツ</t>
    </rPh>
    <rPh sb="5" eb="6">
      <t>コ</t>
    </rPh>
    <phoneticPr fontId="5"/>
  </si>
  <si>
    <t>変更届（神田　静子、～平成25年７月11日）</t>
    <rPh sb="0" eb="2">
      <t>ヘンコウ</t>
    </rPh>
    <rPh sb="2" eb="3">
      <t>トド</t>
    </rPh>
    <rPh sb="11" eb="13">
      <t>ヘイセイ</t>
    </rPh>
    <rPh sb="15" eb="16">
      <t>トシ</t>
    </rPh>
    <rPh sb="17" eb="18">
      <t>ツキ</t>
    </rPh>
    <rPh sb="20" eb="21">
      <t>ヒ</t>
    </rPh>
    <phoneticPr fontId="5"/>
  </si>
  <si>
    <t>30八福障収第559号</t>
    <rPh sb="2" eb="3">
      <t>ハチ</t>
    </rPh>
    <rPh sb="5" eb="6">
      <t>シュウ</t>
    </rPh>
    <phoneticPr fontId="6"/>
  </si>
  <si>
    <t>2-28</t>
  </si>
  <si>
    <t>たちばな薬局　片倉店</t>
  </si>
  <si>
    <t>192-0914</t>
  </si>
  <si>
    <t>八王子市片倉町４４６－８</t>
  </si>
  <si>
    <t>042-632-8990</t>
  </si>
  <si>
    <t>橘　京子</t>
    <rPh sb="0" eb="1">
      <t>タチバナ</t>
    </rPh>
    <rPh sb="2" eb="4">
      <t>キョウコ</t>
    </rPh>
    <phoneticPr fontId="5"/>
  </si>
  <si>
    <t>6八福障第5176号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</si>
  <si>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2-29</t>
  </si>
  <si>
    <t>あらい薬局北野店</t>
  </si>
  <si>
    <t>192-0906</t>
  </si>
  <si>
    <t>24八王子市</t>
    <rPh sb="2" eb="5">
      <t>ハチオウジ</t>
    </rPh>
    <rPh sb="5" eb="6">
      <t>シ</t>
    </rPh>
    <phoneticPr fontId="5"/>
  </si>
  <si>
    <t>八王子市北野町５６０－２３</t>
  </si>
  <si>
    <t>042-646-4976</t>
  </si>
  <si>
    <t>有限会社アルファー</t>
  </si>
  <si>
    <t>八王子市片倉町１１９３－４</t>
    <rPh sb="0" eb="4">
      <t>ハチオウジシ</t>
    </rPh>
    <rPh sb="4" eb="7">
      <t>カタクラチョウ</t>
    </rPh>
    <phoneticPr fontId="5"/>
  </si>
  <si>
    <t>新井　幸子</t>
    <rPh sb="0" eb="2">
      <t>アライ</t>
    </rPh>
    <rPh sb="3" eb="5">
      <t>サチコ</t>
    </rPh>
    <phoneticPr fontId="5"/>
  </si>
  <si>
    <t>19福保障計第430号</t>
    <rPh sb="2" eb="3">
      <t>フク</t>
    </rPh>
    <rPh sb="3" eb="4">
      <t>ホ</t>
    </rPh>
    <rPh sb="4" eb="5">
      <t>ショウ</t>
    </rPh>
    <rPh sb="5" eb="6">
      <t>ケイ</t>
    </rPh>
    <rPh sb="6" eb="7">
      <t>ダイ</t>
    </rPh>
    <rPh sb="10" eb="11">
      <t>ゴウ</t>
    </rPh>
    <phoneticPr fontId="5"/>
  </si>
  <si>
    <t>7八福障第1714号</t>
    <rPh sb="1" eb="2">
      <t>ハチ</t>
    </rPh>
    <rPh sb="3" eb="4">
      <t>ショウ</t>
    </rPh>
    <phoneticPr fontId="6"/>
  </si>
  <si>
    <t>2-30</t>
  </si>
  <si>
    <t>たんぽぽ薬局</t>
  </si>
  <si>
    <t>八王子市台町４－４５－１０　台町ビル１階</t>
  </si>
  <si>
    <t>042-664-4519</t>
  </si>
  <si>
    <t>株式会社まろん</t>
  </si>
  <si>
    <t>192-0917</t>
  </si>
  <si>
    <t>東京都八王子市西片倉３－１－３</t>
    <rPh sb="0" eb="2">
      <t>トウキョウ</t>
    </rPh>
    <rPh sb="2" eb="3">
      <t>ト</t>
    </rPh>
    <rPh sb="3" eb="7">
      <t>ハチオウジシ</t>
    </rPh>
    <rPh sb="7" eb="8">
      <t>ニシ</t>
    </rPh>
    <rPh sb="8" eb="10">
      <t>カタクラ</t>
    </rPh>
    <phoneticPr fontId="5"/>
  </si>
  <si>
    <t>沢田　英之</t>
    <rPh sb="0" eb="2">
      <t>サワダ</t>
    </rPh>
    <rPh sb="3" eb="5">
      <t>ヒデユキ</t>
    </rPh>
    <phoneticPr fontId="5"/>
  </si>
  <si>
    <t>廃止届（平成24年12月15日廃止、薬局廃止）</t>
    <rPh sb="0" eb="2">
      <t>ハイシ</t>
    </rPh>
    <rPh sb="2" eb="3">
      <t>トドケ</t>
    </rPh>
    <rPh sb="4" eb="6">
      <t>ヘイセイ</t>
    </rPh>
    <rPh sb="8" eb="9">
      <t>ネン</t>
    </rPh>
    <rPh sb="11" eb="12">
      <t>ガツ</t>
    </rPh>
    <rPh sb="14" eb="15">
      <t>ニチ</t>
    </rPh>
    <rPh sb="15" eb="17">
      <t>ハイシ</t>
    </rPh>
    <rPh sb="18" eb="20">
      <t>ヤッキョク</t>
    </rPh>
    <rPh sb="20" eb="22">
      <t>ハイシ</t>
    </rPh>
    <phoneticPr fontId="5"/>
  </si>
  <si>
    <t>2-31</t>
  </si>
  <si>
    <t>中山薬局　南新町店</t>
  </si>
  <si>
    <t>192-0075</t>
  </si>
  <si>
    <t>八王子市南新町２４－１４</t>
  </si>
  <si>
    <t>042-627-4177</t>
  </si>
  <si>
    <t>青木　康平</t>
    <rPh sb="0" eb="2">
      <t>アオキ</t>
    </rPh>
    <rPh sb="3" eb="5">
      <t>コウヘイ</t>
    </rPh>
    <phoneticPr fontId="6"/>
  </si>
  <si>
    <t>変更届（河合　大樹、～令和7年3月31日）</t>
    <rPh sb="0" eb="2">
      <t>ヘンコウ</t>
    </rPh>
    <rPh sb="2" eb="3">
      <t>トド</t>
    </rPh>
    <rPh sb="11" eb="13">
      <t>レイワ</t>
    </rPh>
    <rPh sb="14" eb="15">
      <t>トシ</t>
    </rPh>
    <rPh sb="16" eb="17">
      <t>ツキ</t>
    </rPh>
    <rPh sb="19" eb="20">
      <t>ヒ</t>
    </rPh>
    <phoneticPr fontId="5"/>
  </si>
  <si>
    <t>6八福障第5666号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</si>
  <si>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2-32</t>
  </si>
  <si>
    <t>ウェルパーク薬局　八王子北口店</t>
    <rPh sb="6" eb="8">
      <t>ヤッキョク</t>
    </rPh>
    <rPh sb="9" eb="12">
      <t>ハチオウジ</t>
    </rPh>
    <rPh sb="12" eb="14">
      <t>キタグチ</t>
    </rPh>
    <rPh sb="14" eb="15">
      <t>テン</t>
    </rPh>
    <phoneticPr fontId="5"/>
  </si>
  <si>
    <t>八王子市旭町１３－１５</t>
    <rPh sb="0" eb="4">
      <t>ハチオウジシ</t>
    </rPh>
    <rPh sb="4" eb="5">
      <t>アサヒ</t>
    </rPh>
    <rPh sb="5" eb="6">
      <t>マチ</t>
    </rPh>
    <phoneticPr fontId="5"/>
  </si>
  <si>
    <t>0426-39-0274</t>
  </si>
  <si>
    <t>株式会社ウエルパーク</t>
    <rPh sb="0" eb="2">
      <t>カブシキ</t>
    </rPh>
    <rPh sb="2" eb="3">
      <t>カイ</t>
    </rPh>
    <rPh sb="3" eb="4">
      <t>シャ</t>
    </rPh>
    <phoneticPr fontId="5"/>
  </si>
  <si>
    <t>190-0003</t>
    <phoneticPr fontId="6"/>
  </si>
  <si>
    <t>東京都立川市栄町６－１－１</t>
    <rPh sb="0" eb="2">
      <t>トウキョウ</t>
    </rPh>
    <rPh sb="2" eb="3">
      <t>ト</t>
    </rPh>
    <rPh sb="3" eb="6">
      <t>タチカワシ</t>
    </rPh>
    <rPh sb="6" eb="8">
      <t>サカエマチ</t>
    </rPh>
    <phoneticPr fontId="6"/>
  </si>
  <si>
    <t>柳田　美香子</t>
    <rPh sb="0" eb="2">
      <t>ヤナギタ</t>
    </rPh>
    <rPh sb="3" eb="6">
      <t>ミカコ</t>
    </rPh>
    <phoneticPr fontId="6"/>
  </si>
  <si>
    <t>変更届（粉川　茅奈美、～令和7年12月31日）</t>
    <rPh sb="0" eb="2">
      <t>ヘンコウ</t>
    </rPh>
    <rPh sb="2" eb="3">
      <t>トド</t>
    </rPh>
    <rPh sb="4" eb="6">
      <t>コナガワ</t>
    </rPh>
    <rPh sb="7" eb="8">
      <t>カヤ</t>
    </rPh>
    <rPh sb="8" eb="9">
      <t>ナ</t>
    </rPh>
    <rPh sb="9" eb="10">
      <t>ミ</t>
    </rPh>
    <rPh sb="12" eb="14">
      <t>レイワ</t>
    </rPh>
    <rPh sb="15" eb="16">
      <t>トシ</t>
    </rPh>
    <rPh sb="18" eb="19">
      <t>ツキ</t>
    </rPh>
    <rPh sb="21" eb="22">
      <t>ヒ</t>
    </rPh>
    <phoneticPr fontId="5"/>
  </si>
  <si>
    <t>22福保障計第699号</t>
  </si>
  <si>
    <t>4八福障収第653号</t>
    <rPh sb="1" eb="2">
      <t>ハチ</t>
    </rPh>
    <rPh sb="2" eb="3">
      <t>フク</t>
    </rPh>
    <rPh sb="3" eb="4">
      <t>ショウ</t>
    </rPh>
    <rPh sb="4" eb="5">
      <t>シュウ</t>
    </rPh>
    <rPh sb="5" eb="6">
      <t>ダイ</t>
    </rPh>
    <rPh sb="9" eb="10">
      <t>ゴウ</t>
    </rPh>
    <phoneticPr fontId="5"/>
  </si>
  <si>
    <t>変更届（代表取締役：島本　和彦→菅野　一郎、変更日：令和5年6月19日）</t>
    <rPh sb="4" eb="9">
      <t>ダイヒョウトリシマリヤク</t>
    </rPh>
    <rPh sb="10" eb="12">
      <t>シマモト</t>
    </rPh>
    <rPh sb="13" eb="15">
      <t>カズヒコ</t>
    </rPh>
    <rPh sb="16" eb="18">
      <t>カンノ</t>
    </rPh>
    <rPh sb="19" eb="21">
      <t>イチロウ</t>
    </rPh>
    <rPh sb="26" eb="28">
      <t>レイワ</t>
    </rPh>
    <phoneticPr fontId="6"/>
  </si>
  <si>
    <t>変更届（開設者住所変更：東京都立川市栄町六丁目1番地の1→東京都立川市高松町一丁目100番地25号棟）変更日：令和７年２月１７日</t>
    <rPh sb="15" eb="18">
      <t>タチカワシ</t>
    </rPh>
    <rPh sb="18" eb="19">
      <t>サカエ</t>
    </rPh>
    <rPh sb="19" eb="20">
      <t>チョウ</t>
    </rPh>
    <rPh sb="20" eb="21">
      <t>ロク</t>
    </rPh>
    <rPh sb="21" eb="23">
      <t>チョウメ</t>
    </rPh>
    <rPh sb="24" eb="25">
      <t>バン</t>
    </rPh>
    <rPh sb="25" eb="26">
      <t>チ</t>
    </rPh>
    <rPh sb="32" eb="35">
      <t>タチカワシ</t>
    </rPh>
    <rPh sb="35" eb="37">
      <t>タカマツ</t>
    </rPh>
    <rPh sb="37" eb="38">
      <t>チョウ</t>
    </rPh>
    <rPh sb="38" eb="41">
      <t>イッチョウメ</t>
    </rPh>
    <rPh sb="44" eb="46">
      <t>バンチ</t>
    </rPh>
    <rPh sb="48" eb="50">
      <t>ゴウトウ</t>
    </rPh>
    <phoneticPr fontId="6"/>
  </si>
  <si>
    <t>2-33</t>
  </si>
  <si>
    <t>チューリップ散田町薬局</t>
  </si>
  <si>
    <t>八王子市散田町４－１１－１５</t>
  </si>
  <si>
    <t>042-667-8106</t>
  </si>
  <si>
    <t>石田　美穂子</t>
    <phoneticPr fontId="6"/>
  </si>
  <si>
    <t>193-0833</t>
  </si>
  <si>
    <t>東京都八王子市めじろ台１－７－２</t>
    <rPh sb="0" eb="2">
      <t>トウキョウ</t>
    </rPh>
    <rPh sb="2" eb="3">
      <t>ト</t>
    </rPh>
    <rPh sb="3" eb="7">
      <t>ハチオウジシ</t>
    </rPh>
    <rPh sb="10" eb="11">
      <t>ダイ</t>
    </rPh>
    <phoneticPr fontId="5"/>
  </si>
  <si>
    <t>石田　美穂子</t>
    <rPh sb="0" eb="2">
      <t>イシダ</t>
    </rPh>
    <rPh sb="3" eb="6">
      <t>ミホコ</t>
    </rPh>
    <phoneticPr fontId="6"/>
  </si>
  <si>
    <t>変更届（佐藤　宏子、～平成28年９月11日）</t>
    <rPh sb="0" eb="2">
      <t>ヘンコウ</t>
    </rPh>
    <rPh sb="2" eb="3">
      <t>トド</t>
    </rPh>
    <rPh sb="11" eb="13">
      <t>ヘイセイ</t>
    </rPh>
    <rPh sb="15" eb="16">
      <t>トシ</t>
    </rPh>
    <rPh sb="17" eb="18">
      <t>ツキ</t>
    </rPh>
    <rPh sb="20" eb="21">
      <t>ヒ</t>
    </rPh>
    <phoneticPr fontId="5"/>
  </si>
  <si>
    <t>6八福障第7016号</t>
    <phoneticPr fontId="6"/>
  </si>
  <si>
    <t>2-34</t>
  </si>
  <si>
    <t>たちばな薬局　絹の道店</t>
  </si>
  <si>
    <t>八王子市片倉町１２２１</t>
  </si>
  <si>
    <t>042-632-4236</t>
  </si>
  <si>
    <t>鈴木　敏之</t>
    <rPh sb="0" eb="2">
      <t>スズキ</t>
    </rPh>
    <rPh sb="3" eb="5">
      <t>トシユキ</t>
    </rPh>
    <phoneticPr fontId="6"/>
  </si>
  <si>
    <t>変更届（原田　靖裕、～平成26年5月31日）</t>
    <rPh sb="0" eb="2">
      <t>ヘンコウ</t>
    </rPh>
    <rPh sb="2" eb="3">
      <t>トド</t>
    </rPh>
    <rPh sb="11" eb="13">
      <t>ヘイセイ</t>
    </rPh>
    <rPh sb="15" eb="16">
      <t>トシ</t>
    </rPh>
    <rPh sb="17" eb="18">
      <t>ツキ</t>
    </rPh>
    <rPh sb="20" eb="21">
      <t>ヒ</t>
    </rPh>
    <phoneticPr fontId="5"/>
  </si>
  <si>
    <t>6八福障第5177号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</si>
  <si>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2-35</t>
  </si>
  <si>
    <t>アイセイ薬局　万町店</t>
    <rPh sb="4" eb="6">
      <t>ヤッキョク</t>
    </rPh>
    <rPh sb="7" eb="9">
      <t>ヨロズマチ</t>
    </rPh>
    <rPh sb="9" eb="10">
      <t>テン</t>
    </rPh>
    <phoneticPr fontId="6"/>
  </si>
  <si>
    <t>192-0903</t>
  </si>
  <si>
    <t>八王子市万町１７５－１</t>
  </si>
  <si>
    <t>042-621-1556</t>
  </si>
  <si>
    <t>株式会社アイセイ薬局</t>
    <rPh sb="8" eb="10">
      <t>ヤッキョク</t>
    </rPh>
    <phoneticPr fontId="6"/>
  </si>
  <si>
    <t>佐々木　沙織</t>
    <rPh sb="0" eb="3">
      <t>ササキ</t>
    </rPh>
    <rPh sb="4" eb="6">
      <t>サオリ</t>
    </rPh>
    <phoneticPr fontId="5"/>
  </si>
  <si>
    <t>変更届（梅原　大、～平成29年1月31日）</t>
    <rPh sb="0" eb="2">
      <t>ヘンコウ</t>
    </rPh>
    <rPh sb="2" eb="3">
      <t>トド</t>
    </rPh>
    <rPh sb="4" eb="6">
      <t>ウメハラ</t>
    </rPh>
    <rPh sb="7" eb="8">
      <t>ダイ</t>
    </rPh>
    <rPh sb="10" eb="12">
      <t>ヘイセイ</t>
    </rPh>
    <rPh sb="14" eb="15">
      <t>トシ</t>
    </rPh>
    <rPh sb="16" eb="17">
      <t>ツキ</t>
    </rPh>
    <rPh sb="19" eb="20">
      <t>ヒ</t>
    </rPh>
    <phoneticPr fontId="5"/>
  </si>
  <si>
    <t>6八福障第5270号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</si>
  <si>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変更届（山下　万里子、～平成26年７月31日）</t>
    <phoneticPr fontId="6"/>
  </si>
  <si>
    <t>変更届（医療機関名称（万町めいほう薬局）→）（開設者名称（明芳産業株式会社(ｺｰﾄﾞ2953255)→）、開設者住所（八王子市子安町3-7-16）→、～平成29年10月1日））</t>
    <rPh sb="4" eb="6">
      <t>イリョウ</t>
    </rPh>
    <rPh sb="6" eb="8">
      <t>キカン</t>
    </rPh>
    <rPh sb="8" eb="10">
      <t>メイショウ</t>
    </rPh>
    <rPh sb="11" eb="13">
      <t>ヨロズマチ</t>
    </rPh>
    <rPh sb="17" eb="19">
      <t>ヤッキョク</t>
    </rPh>
    <rPh sb="31" eb="33">
      <t>サンギョウ</t>
    </rPh>
    <rPh sb="33" eb="37">
      <t>カブシキガイシャ</t>
    </rPh>
    <rPh sb="63" eb="66">
      <t>コヤスマチ</t>
    </rPh>
    <phoneticPr fontId="6"/>
  </si>
  <si>
    <t>2-36</t>
  </si>
  <si>
    <t>八王子薬剤センター駅前薬局</t>
  </si>
  <si>
    <t>八王子市旭町１２－１</t>
  </si>
  <si>
    <t>042-643-6555</t>
  </si>
  <si>
    <t>山田　弘志</t>
    <rPh sb="0" eb="2">
      <t>ヤマダ</t>
    </rPh>
    <rPh sb="3" eb="4">
      <t>ヒロシ</t>
    </rPh>
    <rPh sb="4" eb="5">
      <t>ココロザシ</t>
    </rPh>
    <phoneticPr fontId="5"/>
  </si>
  <si>
    <t>6八福障第7190号</t>
    <phoneticPr fontId="6"/>
  </si>
  <si>
    <t>2-37</t>
  </si>
  <si>
    <t>調剤薬局アオバ</t>
  </si>
  <si>
    <t>八王子市中野山王２－２８－１０</t>
  </si>
  <si>
    <t>042-623-1062</t>
  </si>
  <si>
    <t>有限会社オオイ</t>
  </si>
  <si>
    <t>東京都八王子市中野山王２－２８－１０</t>
    <rPh sb="0" eb="3">
      <t>トウキョウト</t>
    </rPh>
    <rPh sb="3" eb="7">
      <t>ハチオウジシ</t>
    </rPh>
    <phoneticPr fontId="5"/>
  </si>
  <si>
    <t>大井　志朗</t>
    <rPh sb="0" eb="2">
      <t>オオイ</t>
    </rPh>
    <rPh sb="3" eb="5">
      <t>シロウ</t>
    </rPh>
    <phoneticPr fontId="5"/>
  </si>
  <si>
    <t>18福保障計第1084号</t>
    <rPh sb="2" eb="3">
      <t>フク</t>
    </rPh>
    <rPh sb="3" eb="5">
      <t>ホショウ</t>
    </rPh>
    <rPh sb="5" eb="6">
      <t>ケイ</t>
    </rPh>
    <rPh sb="6" eb="7">
      <t>ダイ</t>
    </rPh>
    <rPh sb="11" eb="12">
      <t>ゴウ</t>
    </rPh>
    <phoneticPr fontId="5"/>
  </si>
  <si>
    <t>6八福障第5203号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</si>
  <si>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2-38</t>
  </si>
  <si>
    <t>ふじ薬局　めじろ台店</t>
    <phoneticPr fontId="6"/>
  </si>
  <si>
    <t>八王子市めじろ台１－１８－２</t>
  </si>
  <si>
    <t>042-662-7277</t>
  </si>
  <si>
    <t>有限会社ふじもと薬品</t>
  </si>
  <si>
    <t>193-0833</t>
    <phoneticPr fontId="6"/>
  </si>
  <si>
    <t>八王子市めじろ台１－１８－２</t>
    <rPh sb="0" eb="4">
      <t>ハチオウジシ</t>
    </rPh>
    <rPh sb="7" eb="8">
      <t>ダイ</t>
    </rPh>
    <phoneticPr fontId="6"/>
  </si>
  <si>
    <t>後藤　明彦</t>
    <rPh sb="0" eb="2">
      <t>ゴトウ</t>
    </rPh>
    <rPh sb="3" eb="5">
      <t>アキヒコ</t>
    </rPh>
    <phoneticPr fontId="5"/>
  </si>
  <si>
    <t>変更届（藤本　美智子～令和2年4月26日）</t>
    <rPh sb="0" eb="2">
      <t>ヘンコウ</t>
    </rPh>
    <rPh sb="2" eb="3">
      <t>トドケ</t>
    </rPh>
    <rPh sb="4" eb="6">
      <t>フジモト</t>
    </rPh>
    <rPh sb="7" eb="10">
      <t>ミチコ</t>
    </rPh>
    <rPh sb="11" eb="13">
      <t>レイワ</t>
    </rPh>
    <rPh sb="14" eb="15">
      <t>ネン</t>
    </rPh>
    <rPh sb="16" eb="17">
      <t>ガツ</t>
    </rPh>
    <rPh sb="19" eb="20">
      <t>ニチ</t>
    </rPh>
    <phoneticPr fontId="6"/>
  </si>
  <si>
    <t>2-39</t>
  </si>
  <si>
    <t>めばえ薬局</t>
  </si>
  <si>
    <t>八王子市みなみ野３－１－７</t>
  </si>
  <si>
    <t>042-632-7255</t>
  </si>
  <si>
    <t>イントロン株式会社</t>
  </si>
  <si>
    <t>350-1123</t>
    <phoneticPr fontId="6"/>
  </si>
  <si>
    <t>埼玉県川越市脇田本町１３－５</t>
    <rPh sb="0" eb="3">
      <t>サイタマケン</t>
    </rPh>
    <rPh sb="3" eb="6">
      <t>カワゴエシ</t>
    </rPh>
    <rPh sb="6" eb="10">
      <t>ワキタホンチョウ</t>
    </rPh>
    <phoneticPr fontId="6"/>
  </si>
  <si>
    <t>山口　季美子</t>
    <rPh sb="0" eb="2">
      <t>ヤマグチ</t>
    </rPh>
    <rPh sb="3" eb="4">
      <t>キ</t>
    </rPh>
    <rPh sb="4" eb="5">
      <t>ミ</t>
    </rPh>
    <rPh sb="5" eb="6">
      <t>コ</t>
    </rPh>
    <phoneticPr fontId="6"/>
  </si>
  <si>
    <t>変更届（藤野　操子、～平成30年10月31日）</t>
    <rPh sb="0" eb="2">
      <t>ヘンコウ</t>
    </rPh>
    <rPh sb="2" eb="3">
      <t>トド</t>
    </rPh>
    <rPh sb="11" eb="13">
      <t>ヘイセイ</t>
    </rPh>
    <rPh sb="15" eb="16">
      <t>トシ</t>
    </rPh>
    <rPh sb="18" eb="19">
      <t>ツキ</t>
    </rPh>
    <rPh sb="21" eb="22">
      <t>ヒ</t>
    </rPh>
    <phoneticPr fontId="5"/>
  </si>
  <si>
    <t>30八福障収第1058号</t>
    <rPh sb="2" eb="3">
      <t>ハチ</t>
    </rPh>
    <rPh sb="3" eb="4">
      <t>フク</t>
    </rPh>
    <rPh sb="4" eb="5">
      <t>ショウ</t>
    </rPh>
    <rPh sb="5" eb="6">
      <t>シュウ</t>
    </rPh>
    <rPh sb="6" eb="7">
      <t>ダイ</t>
    </rPh>
    <rPh sb="11" eb="12">
      <t>ゴウ</t>
    </rPh>
    <phoneticPr fontId="5"/>
  </si>
  <si>
    <t>変更届（開設者住所（東京都豊島区東池袋３－１－４→）、～平成30年10月31日））</t>
    <rPh sb="0" eb="3">
      <t>ヘンコウトドケ</t>
    </rPh>
    <rPh sb="4" eb="7">
      <t>カイセツシャ</t>
    </rPh>
    <rPh sb="7" eb="9">
      <t>ジュウショ</t>
    </rPh>
    <rPh sb="28" eb="30">
      <t>ヘイセイ</t>
    </rPh>
    <rPh sb="32" eb="33">
      <t>ネン</t>
    </rPh>
    <rPh sb="35" eb="36">
      <t>ガツ</t>
    </rPh>
    <rPh sb="38" eb="39">
      <t>ニチ</t>
    </rPh>
    <phoneticPr fontId="6"/>
  </si>
  <si>
    <t>廃止届（令和3年9月30日廃止、薬局譲渡のため）</t>
    <rPh sb="0" eb="2">
      <t>ハイシ</t>
    </rPh>
    <rPh sb="2" eb="3">
      <t>トドケ</t>
    </rPh>
    <rPh sb="4" eb="6">
      <t>レイワ</t>
    </rPh>
    <rPh sb="7" eb="8">
      <t>ネン</t>
    </rPh>
    <rPh sb="9" eb="10">
      <t>ガツ</t>
    </rPh>
    <rPh sb="12" eb="13">
      <t>ニチ</t>
    </rPh>
    <rPh sb="13" eb="15">
      <t>ハイシ</t>
    </rPh>
    <rPh sb="16" eb="18">
      <t>ヤッキョク</t>
    </rPh>
    <rPh sb="18" eb="20">
      <t>ジョウト</t>
    </rPh>
    <phoneticPr fontId="6"/>
  </si>
  <si>
    <t>2-40</t>
  </si>
  <si>
    <t>東八王子薬局</t>
  </si>
  <si>
    <t>八王子市明神町４－７－５</t>
  </si>
  <si>
    <t>042-660-8021</t>
  </si>
  <si>
    <t>有限会社東八王子薬局</t>
  </si>
  <si>
    <t>東京都八王子市明神町４－７－５</t>
    <rPh sb="0" eb="2">
      <t>トウキョウ</t>
    </rPh>
    <rPh sb="2" eb="3">
      <t>ト</t>
    </rPh>
    <phoneticPr fontId="5"/>
  </si>
  <si>
    <t>野嶋　亜紀子</t>
    <rPh sb="0" eb="2">
      <t>ノジマ</t>
    </rPh>
    <rPh sb="3" eb="6">
      <t>アキコ</t>
    </rPh>
    <phoneticPr fontId="5"/>
  </si>
  <si>
    <t>変更届(熊崎　洋子、～令和6年3月31日)</t>
    <rPh sb="0" eb="3">
      <t>ヘンコウトドケ</t>
    </rPh>
    <rPh sb="11" eb="13">
      <t>レイワ</t>
    </rPh>
    <rPh sb="14" eb="15">
      <t>ネン</t>
    </rPh>
    <rPh sb="16" eb="17">
      <t>ガツ</t>
    </rPh>
    <rPh sb="19" eb="20">
      <t>ニチ</t>
    </rPh>
    <phoneticPr fontId="5"/>
  </si>
  <si>
    <t>25福保障計第894号</t>
  </si>
  <si>
    <t>7八福障第4047号</t>
    <rPh sb="1" eb="2">
      <t>ヤツ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</si>
  <si>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育成医療・更生医療</t>
  </si>
  <si>
    <t>変更届(古屋希枝、～令和2年11月16日)</t>
    <rPh sb="0" eb="3">
      <t>ヘンコウトドケ</t>
    </rPh>
    <rPh sb="4" eb="6">
      <t>フルヤ</t>
    </rPh>
    <rPh sb="6" eb="7">
      <t>ノゾミ</t>
    </rPh>
    <rPh sb="7" eb="8">
      <t>エダ</t>
    </rPh>
    <rPh sb="10" eb="12">
      <t>レイワ</t>
    </rPh>
    <rPh sb="13" eb="14">
      <t>ネン</t>
    </rPh>
    <rPh sb="16" eb="17">
      <t>ガツ</t>
    </rPh>
    <rPh sb="19" eb="20">
      <t>ニチ</t>
    </rPh>
    <phoneticPr fontId="5"/>
  </si>
  <si>
    <t>2-41</t>
  </si>
  <si>
    <t>グリーン薬局</t>
    <rPh sb="4" eb="6">
      <t>ヤッキョク</t>
    </rPh>
    <phoneticPr fontId="5"/>
  </si>
  <si>
    <t>八王子市みなみ野４－１５－７</t>
    <rPh sb="0" eb="3">
      <t>ハチオウジ</t>
    </rPh>
    <rPh sb="3" eb="4">
      <t>シ</t>
    </rPh>
    <rPh sb="7" eb="8">
      <t>ノ</t>
    </rPh>
    <phoneticPr fontId="5"/>
  </si>
  <si>
    <t>042-632-8088</t>
  </si>
  <si>
    <t>株式会社パグラスメジャー</t>
    <rPh sb="0" eb="1">
      <t>カブ</t>
    </rPh>
    <phoneticPr fontId="5"/>
  </si>
  <si>
    <t>216-0023</t>
    <phoneticPr fontId="6"/>
  </si>
  <si>
    <t>神奈川県川崎市宮前区けやき平１番　グリーンハイツ１６号棟</t>
    <rPh sb="0" eb="4">
      <t>カナガワケン</t>
    </rPh>
    <rPh sb="4" eb="7">
      <t>カワサキシ</t>
    </rPh>
    <rPh sb="7" eb="10">
      <t>ミヤマエク</t>
    </rPh>
    <rPh sb="13" eb="14">
      <t>タイラ</t>
    </rPh>
    <rPh sb="15" eb="16">
      <t>バン</t>
    </rPh>
    <rPh sb="26" eb="28">
      <t>ゴウトウ</t>
    </rPh>
    <phoneticPr fontId="6"/>
  </si>
  <si>
    <t>近藤　みどり</t>
    <rPh sb="0" eb="2">
      <t>コンドウ</t>
    </rPh>
    <phoneticPr fontId="5"/>
  </si>
  <si>
    <t>23福保障計第1502号</t>
  </si>
  <si>
    <t>29八福障収第863号</t>
    <rPh sb="2" eb="3">
      <t>ハチ</t>
    </rPh>
    <rPh sb="3" eb="4">
      <t>フク</t>
    </rPh>
    <rPh sb="4" eb="5">
      <t>ショウ</t>
    </rPh>
    <rPh sb="5" eb="6">
      <t>シュウ</t>
    </rPh>
    <rPh sb="6" eb="7">
      <t>ダイ</t>
    </rPh>
    <rPh sb="10" eb="11">
      <t>ゴウ</t>
    </rPh>
    <phoneticPr fontId="6"/>
  </si>
  <si>
    <t>変更届（開設者名称（有限会社パグラスメジャー）コード変更無→、～平成31年1月16日）</t>
    <rPh sb="0" eb="3">
      <t>ヘンコウトドケ</t>
    </rPh>
    <rPh sb="4" eb="7">
      <t>カイセツシャ</t>
    </rPh>
    <rPh sb="7" eb="9">
      <t>メイショウ</t>
    </rPh>
    <rPh sb="10" eb="14">
      <t>ユウゲンガイシャ</t>
    </rPh>
    <rPh sb="26" eb="28">
      <t>ヘンコウ</t>
    </rPh>
    <rPh sb="28" eb="29">
      <t>ナ</t>
    </rPh>
    <rPh sb="32" eb="34">
      <t>ヘイセイ</t>
    </rPh>
    <rPh sb="36" eb="37">
      <t>ネン</t>
    </rPh>
    <rPh sb="38" eb="39">
      <t>ガツ</t>
    </rPh>
    <rPh sb="41" eb="42">
      <t>ニチ</t>
    </rPh>
    <phoneticPr fontId="6"/>
  </si>
  <si>
    <t>廃止届（令和3年10月31日　薬局廃止のため）</t>
    <rPh sb="0" eb="2">
      <t>ハイシ</t>
    </rPh>
    <rPh sb="2" eb="3">
      <t>トドケ</t>
    </rPh>
    <rPh sb="4" eb="5">
      <t>レイ</t>
    </rPh>
    <rPh sb="5" eb="6">
      <t>ワ</t>
    </rPh>
    <rPh sb="7" eb="8">
      <t>ネン</t>
    </rPh>
    <rPh sb="10" eb="11">
      <t>ガツ</t>
    </rPh>
    <rPh sb="13" eb="14">
      <t>ニチ</t>
    </rPh>
    <rPh sb="15" eb="17">
      <t>ヤッキョク</t>
    </rPh>
    <rPh sb="17" eb="19">
      <t>ハイシ</t>
    </rPh>
    <phoneticPr fontId="6"/>
  </si>
  <si>
    <t>2-42</t>
  </si>
  <si>
    <t>なみきばし薬局</t>
  </si>
  <si>
    <t>193-0813</t>
  </si>
  <si>
    <t>八王子市四谷町７２０－１</t>
  </si>
  <si>
    <t>042-620-5788</t>
  </si>
  <si>
    <t>有限会社アルト</t>
  </si>
  <si>
    <t>東京都八王子市四谷町７２０－１</t>
    <rPh sb="0" eb="3">
      <t>トウキョウト</t>
    </rPh>
    <phoneticPr fontId="5"/>
  </si>
  <si>
    <t>曽根原　かい</t>
    <rPh sb="0" eb="3">
      <t>ソネハラ</t>
    </rPh>
    <phoneticPr fontId="5"/>
  </si>
  <si>
    <t>変更届（杉山　哲久　、～平成24年11月14日）</t>
    <rPh sb="0" eb="2">
      <t>ヘンコウ</t>
    </rPh>
    <rPh sb="2" eb="3">
      <t>トド</t>
    </rPh>
    <rPh sb="12" eb="14">
      <t>ヘイセイ</t>
    </rPh>
    <rPh sb="16" eb="17">
      <t>トシ</t>
    </rPh>
    <rPh sb="19" eb="20">
      <t>ツキ</t>
    </rPh>
    <rPh sb="22" eb="23">
      <t>ヒ</t>
    </rPh>
    <phoneticPr fontId="5"/>
  </si>
  <si>
    <t>6八福障第6828号</t>
    <phoneticPr fontId="6"/>
  </si>
  <si>
    <t>2-43</t>
  </si>
  <si>
    <t>めじろ台南調剤薬局</t>
  </si>
  <si>
    <t>八王子市めじろ台２－１９－９</t>
  </si>
  <si>
    <t>042-663-9660</t>
  </si>
  <si>
    <t>株式会社ストレチア</t>
    <rPh sb="0" eb="4">
      <t>カブシキガイシャ</t>
    </rPh>
    <phoneticPr fontId="6"/>
  </si>
  <si>
    <t>104-0028</t>
    <phoneticPr fontId="6"/>
  </si>
  <si>
    <t>東京都中央区八重洲二丁目2番1号</t>
    <rPh sb="0" eb="3">
      <t>トウキョウト</t>
    </rPh>
    <rPh sb="3" eb="6">
      <t>チュウオウク</t>
    </rPh>
    <rPh sb="6" eb="9">
      <t>ヤエス</t>
    </rPh>
    <rPh sb="9" eb="12">
      <t>2チョウメ</t>
    </rPh>
    <rPh sb="13" eb="14">
      <t>バン</t>
    </rPh>
    <rPh sb="15" eb="16">
      <t>ゴウ</t>
    </rPh>
    <phoneticPr fontId="5"/>
  </si>
  <si>
    <t>佐藤　仁</t>
    <rPh sb="0" eb="2">
      <t>サトウ</t>
    </rPh>
    <rPh sb="3" eb="4">
      <t>ヒトシ</t>
    </rPh>
    <phoneticPr fontId="6"/>
  </si>
  <si>
    <t>変更届(小野　宏、～令和7年2月28日）</t>
    <rPh sb="0" eb="2">
      <t>ヘンコウ</t>
    </rPh>
    <rPh sb="2" eb="3">
      <t>トドケ</t>
    </rPh>
    <rPh sb="4" eb="6">
      <t>オノ</t>
    </rPh>
    <rPh sb="7" eb="8">
      <t>ヒロシ</t>
    </rPh>
    <rPh sb="10" eb="12">
      <t>レイワ</t>
    </rPh>
    <rPh sb="13" eb="14">
      <t>ネン</t>
    </rPh>
    <rPh sb="15" eb="16">
      <t>ツキ</t>
    </rPh>
    <rPh sb="18" eb="19">
      <t>ヒ</t>
    </rPh>
    <phoneticPr fontId="5"/>
  </si>
  <si>
    <t>18福保障計第741号</t>
    <rPh sb="2" eb="3">
      <t>フク</t>
    </rPh>
    <rPh sb="3" eb="4">
      <t>ホ</t>
    </rPh>
    <rPh sb="4" eb="5">
      <t>ショウ</t>
    </rPh>
    <rPh sb="5" eb="6">
      <t>ケイ</t>
    </rPh>
    <rPh sb="6" eb="7">
      <t>ダイ</t>
    </rPh>
    <rPh sb="10" eb="11">
      <t>ゴウ</t>
    </rPh>
    <phoneticPr fontId="5"/>
  </si>
  <si>
    <t>30八福障収第716号</t>
    <rPh sb="2" eb="3">
      <t>ハチ</t>
    </rPh>
    <rPh sb="3" eb="4">
      <t>フク</t>
    </rPh>
    <rPh sb="4" eb="5">
      <t>ショウ</t>
    </rPh>
    <rPh sb="5" eb="6">
      <t>シュウ</t>
    </rPh>
    <rPh sb="6" eb="7">
      <t>ダイ</t>
    </rPh>
    <rPh sb="10" eb="11">
      <t>ゴウ</t>
    </rPh>
    <phoneticPr fontId="5"/>
  </si>
  <si>
    <t>変更届（開設者名称（有限会社和田薬局(ｺｰﾄﾞ2953776)→）、開設者住所（八王子市めじろ台二丁目１９番地の９）→、～平成29年７月1日））</t>
    <rPh sb="0" eb="2">
      <t>ヘンコウ</t>
    </rPh>
    <rPh sb="2" eb="3">
      <t>トドケ</t>
    </rPh>
    <rPh sb="4" eb="6">
      <t>カイセツ</t>
    </rPh>
    <rPh sb="6" eb="7">
      <t>シャ</t>
    </rPh>
    <rPh sb="7" eb="9">
      <t>メイショウ</t>
    </rPh>
    <rPh sb="10" eb="12">
      <t>ユウゲン</t>
    </rPh>
    <rPh sb="12" eb="14">
      <t>カイシャ</t>
    </rPh>
    <rPh sb="14" eb="16">
      <t>ワダ</t>
    </rPh>
    <rPh sb="16" eb="18">
      <t>ヤッキョク</t>
    </rPh>
    <rPh sb="40" eb="44">
      <t>ハチオウジシ</t>
    </rPh>
    <rPh sb="47" eb="48">
      <t>ダイ</t>
    </rPh>
    <rPh sb="48" eb="51">
      <t>２チョウメ</t>
    </rPh>
    <rPh sb="53" eb="55">
      <t>バンチ</t>
    </rPh>
    <rPh sb="61" eb="63">
      <t>ヘイセイ</t>
    </rPh>
    <rPh sb="65" eb="66">
      <t>ネン</t>
    </rPh>
    <rPh sb="67" eb="68">
      <t>ガツ</t>
    </rPh>
    <rPh sb="69" eb="70">
      <t>ニチ</t>
    </rPh>
    <phoneticPr fontId="5"/>
  </si>
  <si>
    <t>変更届（開設者氏名変更（清水　徹治→柴崎　俊明））～令和２年５月２１日</t>
    <rPh sb="0" eb="2">
      <t>ヘンコウ</t>
    </rPh>
    <rPh sb="2" eb="3">
      <t>トドケ</t>
    </rPh>
    <rPh sb="4" eb="7">
      <t>カイセツシャ</t>
    </rPh>
    <rPh sb="7" eb="9">
      <t>シメイ</t>
    </rPh>
    <rPh sb="9" eb="11">
      <t>ヘンコウ</t>
    </rPh>
    <rPh sb="12" eb="14">
      <t>シミズ</t>
    </rPh>
    <rPh sb="15" eb="16">
      <t>テツ</t>
    </rPh>
    <rPh sb="16" eb="17">
      <t>ハル</t>
    </rPh>
    <rPh sb="18" eb="20">
      <t>シバサキ</t>
    </rPh>
    <rPh sb="21" eb="23">
      <t>トシアキ</t>
    </rPh>
    <rPh sb="26" eb="28">
      <t>レイワ</t>
    </rPh>
    <rPh sb="29" eb="30">
      <t>ネン</t>
    </rPh>
    <rPh sb="31" eb="32">
      <t>ガツ</t>
    </rPh>
    <rPh sb="34" eb="35">
      <t>ニチ</t>
    </rPh>
    <phoneticPr fontId="6"/>
  </si>
  <si>
    <t>変更届（開設者住所（日野市多摩平一丁目14番地の37→）、～令和3年9月1日）</t>
    <rPh sb="10" eb="13">
      <t>ヒノシ</t>
    </rPh>
    <rPh sb="13" eb="16">
      <t>タマダイラ</t>
    </rPh>
    <rPh sb="16" eb="19">
      <t>イッチョウメ</t>
    </rPh>
    <rPh sb="21" eb="23">
      <t>バンチ</t>
    </rPh>
    <rPh sb="30" eb="32">
      <t>レイワ</t>
    </rPh>
    <rPh sb="33" eb="34">
      <t>ネン</t>
    </rPh>
    <rPh sb="35" eb="36">
      <t>ガツ</t>
    </rPh>
    <rPh sb="37" eb="38">
      <t>ニチ</t>
    </rPh>
    <phoneticPr fontId="6"/>
  </si>
  <si>
    <t>変更届（医療機関コード：2955243→2956159、開設者住所：東京都日野市多摩平三丁目12番地の3→東京都中央区八重洲二丁目2番1号、開設者名：株式会社清水薬局　代表取締役　柴崎俊明→株式会社ストレチア　代表取締役　山根弘、変更日：令和6年7月1日）</t>
    <rPh sb="0" eb="3">
      <t>ヘンコウトドケ</t>
    </rPh>
    <rPh sb="84" eb="86">
      <t>ダイヒョウ</t>
    </rPh>
    <rPh sb="115" eb="118">
      <t>ヘンコウビ</t>
    </rPh>
    <rPh sb="119" eb="121">
      <t>レイワ</t>
    </rPh>
    <rPh sb="122" eb="123">
      <t>ネン</t>
    </rPh>
    <rPh sb="124" eb="125">
      <t>ガツ</t>
    </rPh>
    <rPh sb="126" eb="127">
      <t>ヒ</t>
    </rPh>
    <phoneticPr fontId="6"/>
  </si>
  <si>
    <t>2-44</t>
  </si>
  <si>
    <t>ハートフルファーマシー</t>
  </si>
  <si>
    <t>192-0045</t>
  </si>
  <si>
    <t>八王子市大和田町１－６－１５</t>
  </si>
  <si>
    <t>042-631-0210</t>
  </si>
  <si>
    <t>株式会社ハートフル</t>
  </si>
  <si>
    <t>東京都八王子市大和田町１－６－１５</t>
    <rPh sb="0" eb="2">
      <t>トウキョウ</t>
    </rPh>
    <rPh sb="2" eb="3">
      <t>ト</t>
    </rPh>
    <phoneticPr fontId="5"/>
  </si>
  <si>
    <t>河野　貴紀</t>
    <rPh sb="0" eb="2">
      <t>コウノ</t>
    </rPh>
    <rPh sb="3" eb="5">
      <t>タカノリ</t>
    </rPh>
    <phoneticPr fontId="5"/>
  </si>
  <si>
    <t>変更届(宇田川　悟史～令和元年8月1日)</t>
    <rPh sb="0" eb="3">
      <t>ヘンコウトドケ</t>
    </rPh>
    <rPh sb="11" eb="12">
      <t>レイ</t>
    </rPh>
    <rPh sb="12" eb="13">
      <t>ワ</t>
    </rPh>
    <rPh sb="13" eb="15">
      <t>ガンネン</t>
    </rPh>
    <rPh sb="14" eb="15">
      <t>ネン</t>
    </rPh>
    <rPh sb="16" eb="17">
      <t>ガツ</t>
    </rPh>
    <rPh sb="18" eb="19">
      <t>ニチ</t>
    </rPh>
    <phoneticPr fontId="5"/>
  </si>
  <si>
    <t>26福保障計
第362号</t>
    <rPh sb="2" eb="3">
      <t>フク</t>
    </rPh>
    <rPh sb="3" eb="5">
      <t>ホショウ</t>
    </rPh>
    <rPh sb="5" eb="6">
      <t>ケイ</t>
    </rPh>
    <rPh sb="7" eb="8">
      <t>ダイ</t>
    </rPh>
    <rPh sb="11" eb="12">
      <t>ゴウ</t>
    </rPh>
    <phoneticPr fontId="5"/>
  </si>
  <si>
    <t>変更届（代表取締役：長尾　愛→長尾　健、変更日：令和７年１月１１日）</t>
    <rPh sb="0" eb="3">
      <t>ヘンコウトドケ</t>
    </rPh>
    <rPh sb="4" eb="6">
      <t>ダイヒョウ</t>
    </rPh>
    <rPh sb="6" eb="9">
      <t>トリシマリヤク</t>
    </rPh>
    <rPh sb="10" eb="12">
      <t>ナガオ</t>
    </rPh>
    <rPh sb="13" eb="14">
      <t>アイ</t>
    </rPh>
    <rPh sb="15" eb="17">
      <t>ナガオ</t>
    </rPh>
    <rPh sb="18" eb="19">
      <t>ケン</t>
    </rPh>
    <rPh sb="20" eb="23">
      <t>ヘンコウビ</t>
    </rPh>
    <rPh sb="24" eb="26">
      <t>レイワ</t>
    </rPh>
    <rPh sb="27" eb="28">
      <t>ネン</t>
    </rPh>
    <rPh sb="29" eb="30">
      <t>ガツ</t>
    </rPh>
    <rPh sb="32" eb="33">
      <t>ニチ</t>
    </rPh>
    <phoneticPr fontId="6"/>
  </si>
  <si>
    <t>2-45</t>
  </si>
  <si>
    <t>下恩方調剤薬局</t>
  </si>
  <si>
    <t>192-0154</t>
    <phoneticPr fontId="6"/>
  </si>
  <si>
    <t>八王子市下恩方１１４５－１</t>
  </si>
  <si>
    <t>042-650-5701</t>
  </si>
  <si>
    <t>澤田　悠太郎</t>
    <rPh sb="0" eb="2">
      <t>サワダ</t>
    </rPh>
    <rPh sb="3" eb="6">
      <t>ユウタロウ</t>
    </rPh>
    <phoneticPr fontId="6"/>
  </si>
  <si>
    <t>変更届(松寺　義貴、～令和6年8月27日）</t>
    <rPh sb="0" eb="2">
      <t>ヘンコウ</t>
    </rPh>
    <rPh sb="2" eb="3">
      <t>トドケ</t>
    </rPh>
    <rPh sb="4" eb="6">
      <t>マツデラ</t>
    </rPh>
    <rPh sb="7" eb="9">
      <t>ヨシタカ</t>
    </rPh>
    <rPh sb="11" eb="13">
      <t>レイワ</t>
    </rPh>
    <rPh sb="14" eb="15">
      <t>ネン</t>
    </rPh>
    <rPh sb="16" eb="17">
      <t>ツキ</t>
    </rPh>
    <rPh sb="19" eb="20">
      <t>ヒ</t>
    </rPh>
    <phoneticPr fontId="5"/>
  </si>
  <si>
    <t>6八福障第6795号</t>
    <phoneticPr fontId="6"/>
  </si>
  <si>
    <t>2-46</t>
  </si>
  <si>
    <t>さつき薬局　寺町店</t>
    <rPh sb="6" eb="7">
      <t>テラ</t>
    </rPh>
    <phoneticPr fontId="5"/>
  </si>
  <si>
    <t>192-0073</t>
  </si>
  <si>
    <t>八王子市寺町２９－２５　アーバン寺町１０２</t>
    <rPh sb="4" eb="5">
      <t>テラ</t>
    </rPh>
    <rPh sb="16" eb="17">
      <t>テラ</t>
    </rPh>
    <rPh sb="17" eb="18">
      <t>チョウ</t>
    </rPh>
    <phoneticPr fontId="5"/>
  </si>
  <si>
    <t>042-689-4896</t>
  </si>
  <si>
    <t>有限会社さつきメディカル</t>
  </si>
  <si>
    <t>192-0913</t>
  </si>
  <si>
    <t>東京都八王子市横川町７４５番地６</t>
    <rPh sb="0" eb="3">
      <t>トウキョウト</t>
    </rPh>
    <rPh sb="3" eb="7">
      <t>ハチオウジシ</t>
    </rPh>
    <rPh sb="7" eb="10">
      <t>ヨコカワマチ</t>
    </rPh>
    <rPh sb="13" eb="15">
      <t>バンチ</t>
    </rPh>
    <phoneticPr fontId="5"/>
  </si>
  <si>
    <t>河住　宏平</t>
    <rPh sb="0" eb="1">
      <t>カワ</t>
    </rPh>
    <rPh sb="1" eb="2">
      <t>スミ</t>
    </rPh>
    <rPh sb="3" eb="5">
      <t>コウヘイ</t>
    </rPh>
    <phoneticPr fontId="5"/>
  </si>
  <si>
    <t>変更届(田村　剛、～平成27年9月16日）</t>
    <rPh sb="0" eb="2">
      <t>ヘンコウ</t>
    </rPh>
    <rPh sb="2" eb="3">
      <t>トドケ</t>
    </rPh>
    <rPh sb="4" eb="6">
      <t>タムラ</t>
    </rPh>
    <rPh sb="7" eb="8">
      <t>ツヨシ</t>
    </rPh>
    <rPh sb="10" eb="12">
      <t>ヘイセイ</t>
    </rPh>
    <rPh sb="14" eb="15">
      <t>ネン</t>
    </rPh>
    <rPh sb="16" eb="17">
      <t>ツキ</t>
    </rPh>
    <rPh sb="19" eb="20">
      <t>ヒ</t>
    </rPh>
    <phoneticPr fontId="5"/>
  </si>
  <si>
    <t>24福保障計第1738号</t>
  </si>
  <si>
    <t>変更届（薬局名称（さつき薬局　万町店→）、薬局所在地（八王子市万町１７１－１４(ｺｰﾄﾞ2953198)→）、電話番号（042-620-5325）、～平成19年８月31日）</t>
    <rPh sb="0" eb="2">
      <t>ヘンコウ</t>
    </rPh>
    <rPh sb="2" eb="3">
      <t>トドケ</t>
    </rPh>
    <rPh sb="4" eb="6">
      <t>ヤッキョク</t>
    </rPh>
    <rPh sb="6" eb="8">
      <t>メイショウ</t>
    </rPh>
    <rPh sb="21" eb="23">
      <t>ヤッキョク</t>
    </rPh>
    <rPh sb="23" eb="26">
      <t>ショザイチ</t>
    </rPh>
    <rPh sb="55" eb="57">
      <t>デンワ</t>
    </rPh>
    <rPh sb="57" eb="59">
      <t>バンゴウ</t>
    </rPh>
    <rPh sb="75" eb="77">
      <t>ヘイセイ</t>
    </rPh>
    <rPh sb="79" eb="80">
      <t>ネン</t>
    </rPh>
    <rPh sb="81" eb="82">
      <t>ガツ</t>
    </rPh>
    <rPh sb="84" eb="85">
      <t>ニチ</t>
    </rPh>
    <phoneticPr fontId="5"/>
  </si>
  <si>
    <t>変更届（開設者住所（八王子市北野台５－４７－５→）、～平成28年3月31日）</t>
    <rPh sb="0" eb="2">
      <t>ヘンコウ</t>
    </rPh>
    <rPh sb="2" eb="3">
      <t>トドケ</t>
    </rPh>
    <rPh sb="4" eb="7">
      <t>カイセツシャ</t>
    </rPh>
    <rPh sb="7" eb="9">
      <t>ジュウショ</t>
    </rPh>
    <rPh sb="14" eb="17">
      <t>キタノダイ</t>
    </rPh>
    <rPh sb="27" eb="29">
      <t>ヘイセイ</t>
    </rPh>
    <rPh sb="31" eb="32">
      <t>ネン</t>
    </rPh>
    <rPh sb="33" eb="34">
      <t>ガツ</t>
    </rPh>
    <rPh sb="36" eb="37">
      <t>ニチ</t>
    </rPh>
    <phoneticPr fontId="5"/>
  </si>
  <si>
    <t>廃止届（業務廃止のため）～平成28年9月30日）</t>
    <rPh sb="0" eb="2">
      <t>ハイシ</t>
    </rPh>
    <rPh sb="2" eb="3">
      <t>トドケ</t>
    </rPh>
    <rPh sb="4" eb="6">
      <t>ギョウム</t>
    </rPh>
    <rPh sb="6" eb="8">
      <t>ハイシ</t>
    </rPh>
    <phoneticPr fontId="6"/>
  </si>
  <si>
    <t>2-47</t>
  </si>
  <si>
    <t>あさひ薬局</t>
    <rPh sb="3" eb="5">
      <t>ヤッキョク</t>
    </rPh>
    <phoneticPr fontId="5"/>
  </si>
  <si>
    <t>192-0024</t>
  </si>
  <si>
    <t>八王子市宇津木町６２６－１</t>
    <rPh sb="0" eb="4">
      <t>ハチオウジシ</t>
    </rPh>
    <rPh sb="4" eb="7">
      <t>ウツキ</t>
    </rPh>
    <rPh sb="7" eb="8">
      <t>チョウ</t>
    </rPh>
    <phoneticPr fontId="5"/>
  </si>
  <si>
    <t>042-642-1193</t>
  </si>
  <si>
    <t>田辺薬品株式会社</t>
    <rPh sb="0" eb="2">
      <t>タナベ</t>
    </rPh>
    <rPh sb="2" eb="4">
      <t>ヤクヒン</t>
    </rPh>
    <rPh sb="4" eb="8">
      <t>カブシキガイシャ</t>
    </rPh>
    <phoneticPr fontId="5"/>
  </si>
  <si>
    <t>千葉　聖</t>
  </si>
  <si>
    <t>変更届(田辺　道夫、～平成21年７月31日）</t>
  </si>
  <si>
    <t>25福保障計第1523号</t>
    <rPh sb="2" eb="3">
      <t>フク</t>
    </rPh>
    <rPh sb="3" eb="5">
      <t>ホショウ</t>
    </rPh>
    <rPh sb="5" eb="6">
      <t>ケイ</t>
    </rPh>
    <rPh sb="6" eb="7">
      <t>ダイ</t>
    </rPh>
    <rPh sb="11" eb="12">
      <t>ゴウ</t>
    </rPh>
    <phoneticPr fontId="5"/>
  </si>
  <si>
    <t>辞退届（平成27年７月20日辞退、薬剤師不在）8月5日受領</t>
    <rPh sb="17" eb="19">
      <t>ヤクザイ</t>
    </rPh>
    <rPh sb="19" eb="20">
      <t>シ</t>
    </rPh>
    <rPh sb="20" eb="22">
      <t>フザイ</t>
    </rPh>
    <rPh sb="24" eb="25">
      <t>ガツ</t>
    </rPh>
    <rPh sb="26" eb="27">
      <t>ニチ</t>
    </rPh>
    <rPh sb="27" eb="29">
      <t>ジュリョウ</t>
    </rPh>
    <phoneticPr fontId="5"/>
  </si>
  <si>
    <t>2-48</t>
  </si>
  <si>
    <t>クリエイトエス・ディー八王子元本郷店薬局</t>
    <rPh sb="11" eb="14">
      <t>ハチオウジ</t>
    </rPh>
    <rPh sb="14" eb="15">
      <t>モト</t>
    </rPh>
    <rPh sb="15" eb="17">
      <t>ホンゴウ</t>
    </rPh>
    <rPh sb="17" eb="18">
      <t>テン</t>
    </rPh>
    <rPh sb="18" eb="20">
      <t>ヤッキョク</t>
    </rPh>
    <phoneticPr fontId="5"/>
  </si>
  <si>
    <t>192-0051</t>
  </si>
  <si>
    <t>八王子市元本郷町４－１７－１６</t>
    <rPh sb="0" eb="4">
      <t>ハチオウジシ</t>
    </rPh>
    <rPh sb="4" eb="5">
      <t>モト</t>
    </rPh>
    <rPh sb="5" eb="7">
      <t>ホンゴウ</t>
    </rPh>
    <rPh sb="7" eb="8">
      <t>マチ</t>
    </rPh>
    <phoneticPr fontId="5"/>
  </si>
  <si>
    <t>042-620-2485</t>
  </si>
  <si>
    <t>株式会社クリエイトエス・ディー</t>
    <rPh sb="0" eb="4">
      <t>カブシキガイシャ</t>
    </rPh>
    <phoneticPr fontId="5"/>
  </si>
  <si>
    <t>225-0014</t>
  </si>
  <si>
    <t>神奈川県横浜市青葉区荏田西２－３－２</t>
    <rPh sb="0" eb="4">
      <t>カナガワケン</t>
    </rPh>
    <rPh sb="4" eb="7">
      <t>ヨコハマシ</t>
    </rPh>
    <rPh sb="7" eb="10">
      <t>アオバク</t>
    </rPh>
    <rPh sb="10" eb="13">
      <t>エダニシ</t>
    </rPh>
    <phoneticPr fontId="5"/>
  </si>
  <si>
    <t>鳥谷　いづみ</t>
    <rPh sb="0" eb="2">
      <t>トリタニ</t>
    </rPh>
    <phoneticPr fontId="6"/>
  </si>
  <si>
    <t>変更届(関川　裕也、～令和6年9月10日）</t>
    <rPh sb="0" eb="2">
      <t>ヘンコウ</t>
    </rPh>
    <rPh sb="2" eb="3">
      <t>トドケ</t>
    </rPh>
    <rPh sb="11" eb="13">
      <t>レイワ</t>
    </rPh>
    <rPh sb="14" eb="15">
      <t>ネン</t>
    </rPh>
    <rPh sb="16" eb="17">
      <t>ガツ</t>
    </rPh>
    <rPh sb="19" eb="20">
      <t>ニチ</t>
    </rPh>
    <phoneticPr fontId="5"/>
  </si>
  <si>
    <t>変更届(開設者（代表取締役）変更（廣瀨　泰三→瀧屋　幸彦)、変更日：令和5年9月1日</t>
    <rPh sb="0" eb="2">
      <t>ヘンコウ</t>
    </rPh>
    <rPh sb="2" eb="3">
      <t>トドケ</t>
    </rPh>
    <rPh sb="4" eb="6">
      <t>カイセツ</t>
    </rPh>
    <rPh sb="6" eb="7">
      <t>シャ</t>
    </rPh>
    <rPh sb="8" eb="10">
      <t>ダイヒョウ</t>
    </rPh>
    <rPh sb="10" eb="13">
      <t>トリシマリヤク</t>
    </rPh>
    <rPh sb="14" eb="16">
      <t>ヘンコウ</t>
    </rPh>
    <rPh sb="17" eb="19">
      <t>ヒロセ</t>
    </rPh>
    <rPh sb="20" eb="22">
      <t>タイゾウ</t>
    </rPh>
    <rPh sb="23" eb="24">
      <t>タキ</t>
    </rPh>
    <rPh sb="24" eb="25">
      <t>ヤ</t>
    </rPh>
    <rPh sb="26" eb="28">
      <t>ユキヒコ</t>
    </rPh>
    <rPh sb="30" eb="32">
      <t>ヘンコウ</t>
    </rPh>
    <rPh sb="32" eb="33">
      <t>ビ</t>
    </rPh>
    <rPh sb="34" eb="36">
      <t>レイワ</t>
    </rPh>
    <rPh sb="37" eb="38">
      <t>ネン</t>
    </rPh>
    <rPh sb="39" eb="40">
      <t>ガツ</t>
    </rPh>
    <rPh sb="41" eb="42">
      <t>ニチ</t>
    </rPh>
    <phoneticPr fontId="6"/>
  </si>
  <si>
    <t>2-49</t>
  </si>
  <si>
    <t>南山堂薬局　片倉店</t>
    <rPh sb="0" eb="2">
      <t>ナンザン</t>
    </rPh>
    <rPh sb="2" eb="3">
      <t>ドウ</t>
    </rPh>
    <rPh sb="3" eb="5">
      <t>ヤッキョク</t>
    </rPh>
    <rPh sb="6" eb="8">
      <t>カタクラ</t>
    </rPh>
    <rPh sb="8" eb="9">
      <t>テン</t>
    </rPh>
    <phoneticPr fontId="5"/>
  </si>
  <si>
    <t>八王子市片倉町３４２－３　Ｋ’ｓ片倉ビル１階</t>
    <rPh sb="0" eb="3">
      <t>ハチオウジ</t>
    </rPh>
    <rPh sb="3" eb="4">
      <t>シ</t>
    </rPh>
    <rPh sb="4" eb="7">
      <t>カタクラチョウ</t>
    </rPh>
    <rPh sb="16" eb="18">
      <t>カタクラ</t>
    </rPh>
    <rPh sb="21" eb="22">
      <t>カイ</t>
    </rPh>
    <phoneticPr fontId="5"/>
  </si>
  <si>
    <t>042-649-5630</t>
  </si>
  <si>
    <t>株式会社南山堂</t>
    <rPh sb="0" eb="2">
      <t>カブシキ</t>
    </rPh>
    <rPh sb="2" eb="3">
      <t>カイ</t>
    </rPh>
    <rPh sb="3" eb="4">
      <t>シャ</t>
    </rPh>
    <rPh sb="4" eb="6">
      <t>ナンザン</t>
    </rPh>
    <rPh sb="6" eb="7">
      <t>ドウ</t>
    </rPh>
    <phoneticPr fontId="5"/>
  </si>
  <si>
    <t>108-0075</t>
    <phoneticPr fontId="6"/>
  </si>
  <si>
    <t>東京都港区港南２－１６－４品川グランドセントラルタワー１７階</t>
    <rPh sb="0" eb="3">
      <t>トウキョウト</t>
    </rPh>
    <rPh sb="3" eb="5">
      <t>ミナトク</t>
    </rPh>
    <rPh sb="5" eb="7">
      <t>コウナン</t>
    </rPh>
    <rPh sb="13" eb="15">
      <t>シナガワ</t>
    </rPh>
    <rPh sb="29" eb="30">
      <t>カイ</t>
    </rPh>
    <phoneticPr fontId="6"/>
  </si>
  <si>
    <t>小林　貴美</t>
    <rPh sb="0" eb="2">
      <t>コバヤシ</t>
    </rPh>
    <rPh sb="3" eb="4">
      <t>トウト</t>
    </rPh>
    <rPh sb="4" eb="5">
      <t>ビ</t>
    </rPh>
    <phoneticPr fontId="5"/>
  </si>
  <si>
    <t>20福保障計第1084号</t>
    <rPh sb="2" eb="3">
      <t>フク</t>
    </rPh>
    <rPh sb="3" eb="4">
      <t>ホ</t>
    </rPh>
    <rPh sb="4" eb="5">
      <t>ショウ</t>
    </rPh>
    <rPh sb="5" eb="6">
      <t>ケイ</t>
    </rPh>
    <rPh sb="6" eb="7">
      <t>ダイ</t>
    </rPh>
    <rPh sb="11" eb="12">
      <t>ゴウ</t>
    </rPh>
    <phoneticPr fontId="5"/>
  </si>
  <si>
    <t>26福保障計第1657号</t>
    <rPh sb="2" eb="3">
      <t>フク</t>
    </rPh>
    <rPh sb="3" eb="4">
      <t>ホ</t>
    </rPh>
    <rPh sb="4" eb="5">
      <t>ショウ</t>
    </rPh>
    <rPh sb="5" eb="6">
      <t>ケイ</t>
    </rPh>
    <rPh sb="6" eb="7">
      <t>ダイ</t>
    </rPh>
    <rPh sb="11" eb="12">
      <t>ゴウ</t>
    </rPh>
    <phoneticPr fontId="5"/>
  </si>
  <si>
    <t>変更届（開設者住所　東京都港区高輪３－２３－１７　品川センタービルディング１１階→）～令和3年3月1日</t>
    <rPh sb="0" eb="2">
      <t>ヘンコウ</t>
    </rPh>
    <rPh sb="2" eb="3">
      <t>トドケ</t>
    </rPh>
    <rPh sb="4" eb="6">
      <t>カイセツ</t>
    </rPh>
    <rPh sb="6" eb="7">
      <t>シャ</t>
    </rPh>
    <rPh sb="7" eb="9">
      <t>ジュウショ</t>
    </rPh>
    <rPh sb="43" eb="44">
      <t>レイ</t>
    </rPh>
    <rPh sb="44" eb="45">
      <t>ワ</t>
    </rPh>
    <rPh sb="46" eb="47">
      <t>ネン</t>
    </rPh>
    <rPh sb="48" eb="49">
      <t>ガツ</t>
    </rPh>
    <rPh sb="50" eb="51">
      <t>ニチ</t>
    </rPh>
    <phoneticPr fontId="6"/>
  </si>
  <si>
    <t>2-50</t>
  </si>
  <si>
    <t>開晴薬局</t>
  </si>
  <si>
    <t>八王子市台町４－３４－２</t>
  </si>
  <si>
    <t>042-623-7201</t>
  </si>
  <si>
    <t>株式会社開晴</t>
    <rPh sb="0" eb="2">
      <t>カブシキ</t>
    </rPh>
    <rPh sb="2" eb="4">
      <t>ガイシャ</t>
    </rPh>
    <rPh sb="4" eb="5">
      <t>カイ</t>
    </rPh>
    <rPh sb="5" eb="6">
      <t>セイ</t>
    </rPh>
    <phoneticPr fontId="5"/>
  </si>
  <si>
    <t>東京都八王子市台町４－３４－２</t>
    <rPh sb="0" eb="3">
      <t>トウキョウト</t>
    </rPh>
    <rPh sb="3" eb="7">
      <t>ハチオウジシ</t>
    </rPh>
    <phoneticPr fontId="5"/>
  </si>
  <si>
    <t>井上　慶大</t>
    <rPh sb="0" eb="2">
      <t>イノウエ</t>
    </rPh>
    <rPh sb="3" eb="5">
      <t>ケイダイ</t>
    </rPh>
    <phoneticPr fontId="6"/>
  </si>
  <si>
    <t>変更届(齋藤　紋也子、～令和2年7月31日）</t>
    <rPh sb="0" eb="2">
      <t>ヘンコウ</t>
    </rPh>
    <rPh sb="2" eb="3">
      <t>トドケ</t>
    </rPh>
    <rPh sb="12" eb="14">
      <t>レイワ</t>
    </rPh>
    <rPh sb="15" eb="16">
      <t>ネン</t>
    </rPh>
    <rPh sb="17" eb="18">
      <t>ガツ</t>
    </rPh>
    <rPh sb="20" eb="21">
      <t>ニチ</t>
    </rPh>
    <phoneticPr fontId="5"/>
  </si>
  <si>
    <t>6八福障第5357号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</si>
  <si>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変更届（開設者名称（齋藤　晴子(ｺｰﾄﾞ2952323)→、～平成21年１月19日））</t>
    <rPh sb="0" eb="2">
      <t>ヘンコウ</t>
    </rPh>
    <rPh sb="2" eb="3">
      <t>トドケ</t>
    </rPh>
    <rPh sb="4" eb="6">
      <t>カイセツ</t>
    </rPh>
    <rPh sb="6" eb="7">
      <t>シャ</t>
    </rPh>
    <rPh sb="7" eb="9">
      <t>メイショウ</t>
    </rPh>
    <rPh sb="10" eb="12">
      <t>サイトウ</t>
    </rPh>
    <rPh sb="13" eb="15">
      <t>ハルコ</t>
    </rPh>
    <rPh sb="31" eb="33">
      <t>ヘイセイ</t>
    </rPh>
    <rPh sb="35" eb="36">
      <t>ネン</t>
    </rPh>
    <rPh sb="37" eb="38">
      <t>ガツ</t>
    </rPh>
    <rPh sb="40" eb="41">
      <t>ニチ</t>
    </rPh>
    <phoneticPr fontId="5"/>
  </si>
  <si>
    <t>2-51</t>
  </si>
  <si>
    <t>しらかば調剤薬局</t>
  </si>
  <si>
    <t>八王子市散田町５－１－３　サイプレスサンダ１階</t>
  </si>
  <si>
    <t>042-668-2786</t>
  </si>
  <si>
    <t>株式会社あけぼの</t>
    <rPh sb="0" eb="4">
      <t>カブシキガイシャ</t>
    </rPh>
    <phoneticPr fontId="6"/>
  </si>
  <si>
    <t>114-0002</t>
    <phoneticPr fontId="6"/>
  </si>
  <si>
    <t>東京都北区王子１－１３－１４　オオタケビル４階</t>
    <rPh sb="0" eb="2">
      <t>トウキョウ</t>
    </rPh>
    <rPh sb="2" eb="3">
      <t>ト</t>
    </rPh>
    <rPh sb="3" eb="5">
      <t>キタク</t>
    </rPh>
    <rPh sb="5" eb="7">
      <t>オウジ</t>
    </rPh>
    <rPh sb="22" eb="23">
      <t>カイ</t>
    </rPh>
    <phoneticPr fontId="5"/>
  </si>
  <si>
    <t>田中　絵利子</t>
    <rPh sb="0" eb="2">
      <t>タナカ</t>
    </rPh>
    <rPh sb="3" eb="6">
      <t>エリコ</t>
    </rPh>
    <phoneticPr fontId="5"/>
  </si>
  <si>
    <t>変更届（有吉　麻理恵　、～平成24年６月15日）</t>
    <rPh sb="0" eb="2">
      <t>ヘンコウ</t>
    </rPh>
    <rPh sb="2" eb="3">
      <t>トド</t>
    </rPh>
    <rPh sb="13" eb="15">
      <t>ヘイセイ</t>
    </rPh>
    <rPh sb="17" eb="18">
      <t>トシ</t>
    </rPh>
    <rPh sb="19" eb="20">
      <t>ツキ</t>
    </rPh>
    <rPh sb="22" eb="23">
      <t>ヒ</t>
    </rPh>
    <phoneticPr fontId="5"/>
  </si>
  <si>
    <t>24福保障計第1452号</t>
    <rPh sb="2" eb="3">
      <t>フク</t>
    </rPh>
    <rPh sb="3" eb="5">
      <t>ホショウ</t>
    </rPh>
    <rPh sb="5" eb="6">
      <t>ケイ</t>
    </rPh>
    <rPh sb="6" eb="7">
      <t>ダイ</t>
    </rPh>
    <rPh sb="11" eb="12">
      <t>ゴウ</t>
    </rPh>
    <phoneticPr fontId="5"/>
  </si>
  <si>
    <t>変更届（開設者名称（有限会社アドニス(ｺｰﾄﾞ2954105)→）、開設者住所（大田区鵜の木２－２６－２０→）、～平成29年12月31日）</t>
    <rPh sb="0" eb="2">
      <t>ヘンコウ</t>
    </rPh>
    <rPh sb="2" eb="3">
      <t>トドケ</t>
    </rPh>
    <rPh sb="4" eb="6">
      <t>カイセツ</t>
    </rPh>
    <rPh sb="6" eb="7">
      <t>シャ</t>
    </rPh>
    <rPh sb="7" eb="9">
      <t>メイショウ</t>
    </rPh>
    <rPh sb="34" eb="37">
      <t>カイセツシャ</t>
    </rPh>
    <rPh sb="37" eb="39">
      <t>ジュウショ</t>
    </rPh>
    <rPh sb="57" eb="59">
      <t>ヘイセイ</t>
    </rPh>
    <rPh sb="61" eb="62">
      <t>ネン</t>
    </rPh>
    <rPh sb="64" eb="65">
      <t>ガツ</t>
    </rPh>
    <rPh sb="67" eb="68">
      <t>ニチ</t>
    </rPh>
    <phoneticPr fontId="5"/>
  </si>
  <si>
    <t>辞退届（平成30年１月１日辞退、取扱中止）</t>
    <rPh sb="16" eb="18">
      <t>トリアツカイ</t>
    </rPh>
    <rPh sb="18" eb="20">
      <t>チュウシ</t>
    </rPh>
    <phoneticPr fontId="5"/>
  </si>
  <si>
    <t>2-52</t>
  </si>
  <si>
    <t>ミネ薬局　高尾店</t>
  </si>
  <si>
    <t>193-0845</t>
  </si>
  <si>
    <t>八王子市初沢町１２３１－１６　</t>
  </si>
  <si>
    <t>042-665-3584</t>
  </si>
  <si>
    <t>東京都八王子市館町１０９７　館ヶ丘団地２－５－１１２</t>
    <rPh sb="0" eb="3">
      <t>トウキョウト</t>
    </rPh>
    <rPh sb="7" eb="8">
      <t>タチ</t>
    </rPh>
    <rPh sb="8" eb="9">
      <t>マチ</t>
    </rPh>
    <rPh sb="17" eb="19">
      <t>ダンチ</t>
    </rPh>
    <phoneticPr fontId="5"/>
  </si>
  <si>
    <t>金森　建夫</t>
    <rPh sb="0" eb="2">
      <t>カナモリ</t>
    </rPh>
    <rPh sb="3" eb="5">
      <t>タテオ</t>
    </rPh>
    <phoneticPr fontId="5"/>
  </si>
  <si>
    <t>変更届(高部　雅、～令和6年7月25日）</t>
    <rPh sb="0" eb="2">
      <t>ヘンコウ</t>
    </rPh>
    <rPh sb="2" eb="3">
      <t>トドケ</t>
    </rPh>
    <rPh sb="10" eb="12">
      <t>レイワ</t>
    </rPh>
    <rPh sb="13" eb="14">
      <t>ネン</t>
    </rPh>
    <rPh sb="15" eb="16">
      <t>ガツ</t>
    </rPh>
    <rPh sb="18" eb="19">
      <t>ニチ</t>
    </rPh>
    <phoneticPr fontId="5"/>
  </si>
  <si>
    <t>18福保障計第333号</t>
    <rPh sb="2" eb="3">
      <t>フク</t>
    </rPh>
    <rPh sb="3" eb="4">
      <t>ホ</t>
    </rPh>
    <rPh sb="4" eb="5">
      <t>ショウ</t>
    </rPh>
    <rPh sb="5" eb="6">
      <t>ケイ</t>
    </rPh>
    <rPh sb="6" eb="7">
      <t>ダイ</t>
    </rPh>
    <rPh sb="10" eb="11">
      <t>ゴウ</t>
    </rPh>
    <phoneticPr fontId="5"/>
  </si>
  <si>
    <t>6八福障第1276号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</si>
  <si>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変更届（コード（2952638→)、～平成21年７月31日）</t>
    <rPh sb="0" eb="2">
      <t>ヘンコウ</t>
    </rPh>
    <rPh sb="2" eb="3">
      <t>トドケ</t>
    </rPh>
    <rPh sb="19" eb="21">
      <t>ヘイセイ</t>
    </rPh>
    <rPh sb="23" eb="24">
      <t>ネン</t>
    </rPh>
    <rPh sb="25" eb="26">
      <t>ガツ</t>
    </rPh>
    <rPh sb="28" eb="29">
      <t>ニチ</t>
    </rPh>
    <phoneticPr fontId="5"/>
  </si>
  <si>
    <t>2-53</t>
  </si>
  <si>
    <t>クオール薬局　八王子店</t>
    <rPh sb="4" eb="6">
      <t>ヤッキョク</t>
    </rPh>
    <rPh sb="7" eb="10">
      <t>ハチオウジ</t>
    </rPh>
    <rPh sb="10" eb="11">
      <t>テン</t>
    </rPh>
    <phoneticPr fontId="5"/>
  </si>
  <si>
    <t>192-0904</t>
    <phoneticPr fontId="6"/>
  </si>
  <si>
    <t>八王子市子安町４－１０－１４　メゾン・ド・彩　１階</t>
    <rPh sb="0" eb="4">
      <t>ハチオウジシ</t>
    </rPh>
    <rPh sb="4" eb="6">
      <t>コヤス</t>
    </rPh>
    <rPh sb="6" eb="7">
      <t>チョウ</t>
    </rPh>
    <rPh sb="21" eb="22">
      <t>アヤ</t>
    </rPh>
    <rPh sb="24" eb="25">
      <t>カイ</t>
    </rPh>
    <phoneticPr fontId="5"/>
  </si>
  <si>
    <t>042-620-1031</t>
  </si>
  <si>
    <t>クオール株式会社</t>
    <rPh sb="4" eb="6">
      <t>カブシキ</t>
    </rPh>
    <rPh sb="6" eb="7">
      <t>カイ</t>
    </rPh>
    <rPh sb="7" eb="8">
      <t>シャ</t>
    </rPh>
    <phoneticPr fontId="5"/>
  </si>
  <si>
    <t>105-8452</t>
  </si>
  <si>
    <t>東京都港区虎ノ門４－３－１　城山トラストタワー３７階　</t>
    <rPh sb="0" eb="3">
      <t>トウキョウト</t>
    </rPh>
    <rPh sb="14" eb="15">
      <t>シロ</t>
    </rPh>
    <rPh sb="15" eb="16">
      <t>ヤマ</t>
    </rPh>
    <rPh sb="25" eb="26">
      <t>カイ</t>
    </rPh>
    <phoneticPr fontId="5"/>
  </si>
  <si>
    <t>秋間　愼介</t>
    <rPh sb="0" eb="2">
      <t>アキマ</t>
    </rPh>
    <rPh sb="3" eb="5">
      <t>シンスケ</t>
    </rPh>
    <phoneticPr fontId="6"/>
  </si>
  <si>
    <t>変更届(松田　早苗、～令和4年9月4日）</t>
    <rPh sb="0" eb="2">
      <t>ヘンコウ</t>
    </rPh>
    <rPh sb="2" eb="3">
      <t>トドケ</t>
    </rPh>
    <rPh sb="11" eb="13">
      <t>レイワ</t>
    </rPh>
    <rPh sb="14" eb="15">
      <t>ネン</t>
    </rPh>
    <rPh sb="16" eb="17">
      <t>ガツ</t>
    </rPh>
    <rPh sb="18" eb="19">
      <t>ニチ</t>
    </rPh>
    <phoneticPr fontId="5"/>
  </si>
  <si>
    <t>21福保障計第1104号</t>
    <rPh sb="2" eb="3">
      <t>フク</t>
    </rPh>
    <rPh sb="3" eb="6">
      <t>ホショウケイ</t>
    </rPh>
    <rPh sb="6" eb="7">
      <t>ダイ</t>
    </rPh>
    <rPh sb="11" eb="12">
      <t>ゴウ</t>
    </rPh>
    <phoneticPr fontId="5"/>
  </si>
  <si>
    <t>3八福障収第1101号</t>
    <rPh sb="1" eb="2">
      <t>ハチ</t>
    </rPh>
    <rPh sb="2" eb="3">
      <t>フク</t>
    </rPh>
    <rPh sb="3" eb="4">
      <t>ショウ</t>
    </rPh>
    <rPh sb="4" eb="5">
      <t>シュウ</t>
    </rPh>
    <rPh sb="5" eb="6">
      <t>ダイ</t>
    </rPh>
    <rPh sb="10" eb="11">
      <t>ゴウ</t>
    </rPh>
    <phoneticPr fontId="5"/>
  </si>
  <si>
    <t>変更届（コード2954162→、～平成30年9月30日）</t>
    <phoneticPr fontId="6"/>
  </si>
  <si>
    <t>変更届（開設者氏名（荒木勲→柄澤忍））、～令和2年9月30日</t>
    <rPh sb="0" eb="2">
      <t>ヘンコウ</t>
    </rPh>
    <rPh sb="2" eb="3">
      <t>トドケ</t>
    </rPh>
    <rPh sb="4" eb="7">
      <t>カイセツシャ</t>
    </rPh>
    <rPh sb="7" eb="9">
      <t>シメイ</t>
    </rPh>
    <rPh sb="10" eb="12">
      <t>アラキ</t>
    </rPh>
    <rPh sb="12" eb="13">
      <t>イサオ</t>
    </rPh>
    <rPh sb="14" eb="16">
      <t>カラサワ</t>
    </rPh>
    <rPh sb="16" eb="17">
      <t>シノブ</t>
    </rPh>
    <rPh sb="21" eb="23">
      <t>レイワ</t>
    </rPh>
    <rPh sb="24" eb="25">
      <t>ネン</t>
    </rPh>
    <rPh sb="26" eb="27">
      <t>ガツ</t>
    </rPh>
    <rPh sb="29" eb="30">
      <t>ニチ</t>
    </rPh>
    <phoneticPr fontId="6"/>
  </si>
  <si>
    <t>変更届（住所（八王子市子安町４－１０－１３→）、薬局コード（2955409→）、～令和4年9月5日）</t>
    <rPh sb="0" eb="3">
      <t>ヘンコウトドケ</t>
    </rPh>
    <rPh sb="4" eb="6">
      <t>ジュウショ</t>
    </rPh>
    <rPh sb="24" eb="26">
      <t>ヤッキョク</t>
    </rPh>
    <rPh sb="41" eb="43">
      <t>レイワ</t>
    </rPh>
    <rPh sb="44" eb="45">
      <t>ネン</t>
    </rPh>
    <rPh sb="46" eb="47">
      <t>ガツ</t>
    </rPh>
    <rPh sb="48" eb="49">
      <t>ヒ</t>
    </rPh>
    <phoneticPr fontId="6"/>
  </si>
  <si>
    <t>2-54</t>
  </si>
  <si>
    <t>日本調剤　明神町薬局</t>
    <rPh sb="0" eb="2">
      <t>ニホン</t>
    </rPh>
    <rPh sb="2" eb="4">
      <t>チョウザイ</t>
    </rPh>
    <rPh sb="5" eb="8">
      <t>ミョウジンチョウ</t>
    </rPh>
    <rPh sb="8" eb="10">
      <t>ヤッキョク</t>
    </rPh>
    <phoneticPr fontId="6"/>
  </si>
  <si>
    <t>八王子市明神町４－３－９　クリオ京王八王子ビサイド１０２号</t>
  </si>
  <si>
    <t>042-643-4101</t>
  </si>
  <si>
    <t>日本調剤株式会社</t>
    <rPh sb="0" eb="2">
      <t>ニホン</t>
    </rPh>
    <rPh sb="2" eb="4">
      <t>チョウザイ</t>
    </rPh>
    <rPh sb="4" eb="6">
      <t>カブシキ</t>
    </rPh>
    <rPh sb="6" eb="8">
      <t>カイシャ</t>
    </rPh>
    <phoneticPr fontId="5"/>
  </si>
  <si>
    <t>108-0014</t>
    <phoneticPr fontId="6"/>
  </si>
  <si>
    <t>東京都港区芝五丁目３３番１１号</t>
  </si>
  <si>
    <t>杉本　梨枝</t>
    <rPh sb="0" eb="2">
      <t>スギモト</t>
    </rPh>
    <rPh sb="3" eb="4">
      <t>リ</t>
    </rPh>
    <rPh sb="4" eb="5">
      <t>エ</t>
    </rPh>
    <phoneticPr fontId="6"/>
  </si>
  <si>
    <t>変更届（中井　亮太、～令和7年12月31日）</t>
    <rPh sb="0" eb="3">
      <t>ヘンコウトドケ</t>
    </rPh>
    <rPh sb="4" eb="6">
      <t>ナカイ</t>
    </rPh>
    <rPh sb="7" eb="9">
      <t>リョウタ</t>
    </rPh>
    <phoneticPr fontId="6"/>
  </si>
  <si>
    <t>6八福障第1259号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</si>
  <si>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申請時都誤り（薬局コード(2953446→)）</t>
    <rPh sb="0" eb="2">
      <t>シンセイ</t>
    </rPh>
    <rPh sb="2" eb="3">
      <t>ジ</t>
    </rPh>
    <rPh sb="3" eb="4">
      <t>ト</t>
    </rPh>
    <rPh sb="4" eb="5">
      <t>アヤマ</t>
    </rPh>
    <rPh sb="7" eb="9">
      <t>ヤッキョク</t>
    </rPh>
    <phoneticPr fontId="5"/>
  </si>
  <si>
    <t>変更届（薬局所在地（八王子市明神町４－３－９　クリオ京王八王子ビサイド１０１号(ｺｰﾄﾞ2953735)→）、～平成22年２月28日）</t>
    <rPh sb="0" eb="2">
      <t>ヘンコウ</t>
    </rPh>
    <rPh sb="2" eb="3">
      <t>トドケ</t>
    </rPh>
    <rPh sb="4" eb="6">
      <t>ヤッキョク</t>
    </rPh>
    <rPh sb="6" eb="9">
      <t>ショザイチ</t>
    </rPh>
    <rPh sb="56" eb="58">
      <t>ヘイセイ</t>
    </rPh>
    <rPh sb="60" eb="61">
      <t>ネン</t>
    </rPh>
    <rPh sb="62" eb="63">
      <t>ガツ</t>
    </rPh>
    <rPh sb="65" eb="66">
      <t>ニチ</t>
    </rPh>
    <phoneticPr fontId="5"/>
  </si>
  <si>
    <t>変更届（開設者名称（株式会社クシマメディカルサービス(ｺｰﾄﾞ変更無)→）、～平成23年９月30日）</t>
  </si>
  <si>
    <t>変更届（薬局名称（本町調剤薬局　明神町店→）、ｺｰﾄﾞ変更無し、～平成31年3月31日）</t>
    <rPh sb="0" eb="2">
      <t>ヘンコウ</t>
    </rPh>
    <rPh sb="2" eb="3">
      <t>トドケ</t>
    </rPh>
    <rPh sb="4" eb="6">
      <t>ヤッキョク</t>
    </rPh>
    <rPh sb="6" eb="8">
      <t>メイショウ</t>
    </rPh>
    <rPh sb="27" eb="29">
      <t>ヘンコウ</t>
    </rPh>
    <rPh sb="29" eb="30">
      <t>ナ</t>
    </rPh>
    <rPh sb="33" eb="35">
      <t>ヘイセイ</t>
    </rPh>
    <rPh sb="37" eb="38">
      <t>ネン</t>
    </rPh>
    <rPh sb="39" eb="40">
      <t>ガツ</t>
    </rPh>
    <rPh sb="42" eb="43">
      <t>ニチ</t>
    </rPh>
    <phoneticPr fontId="5"/>
  </si>
  <si>
    <t>変更届（開設者名称（株式会社クシマトラスト(ｺｰﾄﾞ2954238)→）、開設者所在地（立川市錦町１－５－３４→）、～令和元年８月31日）</t>
    <rPh sb="44" eb="47">
      <t>タチカワシ</t>
    </rPh>
    <rPh sb="47" eb="49">
      <t>ニシキチョウ</t>
    </rPh>
    <rPh sb="59" eb="60">
      <t>レイ</t>
    </rPh>
    <rPh sb="60" eb="61">
      <t>ワ</t>
    </rPh>
    <rPh sb="61" eb="62">
      <t>ガン</t>
    </rPh>
    <phoneticPr fontId="6"/>
  </si>
  <si>
    <t>変更届（薬局名称（アークス薬局　明神町店→）コード変更無し、～令和２年７月１日）</t>
    <rPh sb="0" eb="2">
      <t>ヘンコウ</t>
    </rPh>
    <rPh sb="2" eb="3">
      <t>トドケ</t>
    </rPh>
    <rPh sb="4" eb="6">
      <t>ヤッキョク</t>
    </rPh>
    <rPh sb="6" eb="8">
      <t>メイショウ</t>
    </rPh>
    <rPh sb="13" eb="15">
      <t>ヤッキョク</t>
    </rPh>
    <rPh sb="16" eb="19">
      <t>ミョウジンチョウ</t>
    </rPh>
    <rPh sb="19" eb="20">
      <t>テン</t>
    </rPh>
    <rPh sb="25" eb="27">
      <t>ヘンコウ</t>
    </rPh>
    <rPh sb="27" eb="28">
      <t>ナ</t>
    </rPh>
    <rPh sb="31" eb="33">
      <t>レイワ</t>
    </rPh>
    <rPh sb="34" eb="35">
      <t>ネン</t>
    </rPh>
    <rPh sb="36" eb="37">
      <t>ガツ</t>
    </rPh>
    <rPh sb="38" eb="39">
      <t>ニチ</t>
    </rPh>
    <phoneticPr fontId="6"/>
  </si>
  <si>
    <t>変更届（開設者変更：三津原　庸介→笠井　直人）、変更日：令和６年５月１日</t>
    <rPh sb="7" eb="9">
      <t>ヘンコウ</t>
    </rPh>
    <rPh sb="10" eb="13">
      <t>ミツハラ</t>
    </rPh>
    <rPh sb="14" eb="16">
      <t>ヨウスケ</t>
    </rPh>
    <rPh sb="17" eb="19">
      <t>カサイ</t>
    </rPh>
    <rPh sb="20" eb="22">
      <t>ナオト</t>
    </rPh>
    <rPh sb="24" eb="27">
      <t>ヘンコウビ</t>
    </rPh>
    <rPh sb="28" eb="30">
      <t>レイワ</t>
    </rPh>
    <rPh sb="31" eb="32">
      <t>ネン</t>
    </rPh>
    <rPh sb="33" eb="34">
      <t>ガツ</t>
    </rPh>
    <rPh sb="35" eb="36">
      <t>ニチ</t>
    </rPh>
    <phoneticPr fontId="6"/>
  </si>
  <si>
    <t>変更届（開設者住所変更：東京都千代田区丸の内１－９－１→東京都港区芝五丁目３３番１１号）、変更日：令和６年９月９日</t>
    <rPh sb="7" eb="9">
      <t>ジュウショ</t>
    </rPh>
    <rPh sb="9" eb="11">
      <t>ヘンコウ</t>
    </rPh>
    <rPh sb="28" eb="31">
      <t>トウキョウト</t>
    </rPh>
    <rPh sb="31" eb="33">
      <t>ミナトク</t>
    </rPh>
    <rPh sb="33" eb="34">
      <t>シバ</t>
    </rPh>
    <rPh sb="34" eb="35">
      <t>ゴ</t>
    </rPh>
    <rPh sb="35" eb="37">
      <t>チョウメ</t>
    </rPh>
    <rPh sb="39" eb="40">
      <t>バン</t>
    </rPh>
    <rPh sb="42" eb="43">
      <t>ゴウ</t>
    </rPh>
    <rPh sb="45" eb="48">
      <t>ヘンコウビ</t>
    </rPh>
    <rPh sb="49" eb="51">
      <t>レイワ</t>
    </rPh>
    <rPh sb="52" eb="53">
      <t>ネン</t>
    </rPh>
    <rPh sb="54" eb="55">
      <t>ガツ</t>
    </rPh>
    <rPh sb="56" eb="57">
      <t>ニチ</t>
    </rPh>
    <phoneticPr fontId="6"/>
  </si>
  <si>
    <t>変更届(代表取締役社長：笠井　直人→小城　和紀)、変更日：令和7年6月25日</t>
    <phoneticPr fontId="6"/>
  </si>
  <si>
    <t>2-55</t>
  </si>
  <si>
    <t>さつき薬局　めじろ台店</t>
  </si>
  <si>
    <t>24八王子市</t>
  </si>
  <si>
    <t>八王子市めじろ台２－１－１</t>
  </si>
  <si>
    <t>042-629-1754</t>
  </si>
  <si>
    <t>有賀　直樹</t>
    <rPh sb="0" eb="2">
      <t>アリガ</t>
    </rPh>
    <rPh sb="3" eb="5">
      <t>ナオキ</t>
    </rPh>
    <phoneticPr fontId="6"/>
  </si>
  <si>
    <t>変更届(千葉　聖、～令和5年5月15日）</t>
    <rPh sb="4" eb="6">
      <t>チバ</t>
    </rPh>
    <rPh sb="7" eb="8">
      <t>ヒジリ</t>
    </rPh>
    <rPh sb="10" eb="12">
      <t>レイワ</t>
    </rPh>
    <phoneticPr fontId="6"/>
  </si>
  <si>
    <t>18福保障計第940号</t>
  </si>
  <si>
    <t>6八福障第5240号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</si>
  <si>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変更届（薬局所在地（八王子市めじろ台１－１－１(ｺｰﾄﾞ2953065)→、～平成22年２月28日））</t>
  </si>
  <si>
    <t>2-56</t>
  </si>
  <si>
    <t>さくら薬局　西八王子店</t>
  </si>
  <si>
    <t>八王子市散田町３－８－２</t>
    <rPh sb="0" eb="4">
      <t>ハチオウジシ</t>
    </rPh>
    <rPh sb="4" eb="7">
      <t>サンダマチ</t>
    </rPh>
    <phoneticPr fontId="6"/>
  </si>
  <si>
    <t>042-668-7677</t>
  </si>
  <si>
    <t>クラフト株式会社</t>
  </si>
  <si>
    <t>菅沼　麻里奈</t>
    <rPh sb="0" eb="2">
      <t>スガヌマ</t>
    </rPh>
    <rPh sb="3" eb="6">
      <t>マリナ</t>
    </rPh>
    <phoneticPr fontId="6"/>
  </si>
  <si>
    <t>変更届（轟木　孝倫、～令和7年5月31日）</t>
    <rPh sb="0" eb="2">
      <t>ヘンコウ</t>
    </rPh>
    <rPh sb="2" eb="3">
      <t>トド</t>
    </rPh>
    <rPh sb="11" eb="13">
      <t>レイワ</t>
    </rPh>
    <rPh sb="14" eb="15">
      <t>トシ</t>
    </rPh>
    <rPh sb="16" eb="17">
      <t>ツキ</t>
    </rPh>
    <rPh sb="19" eb="20">
      <t>ヒ</t>
    </rPh>
    <phoneticPr fontId="5"/>
  </si>
  <si>
    <t>6八福障第5096号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</si>
  <si>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変更届（コード（2953123→)、～平成22年３月31日）</t>
    <rPh sb="0" eb="2">
      <t>ヘンコウ</t>
    </rPh>
    <rPh sb="2" eb="3">
      <t>トドケ</t>
    </rPh>
    <rPh sb="19" eb="21">
      <t>ヘイセイ</t>
    </rPh>
    <rPh sb="23" eb="24">
      <t>ネン</t>
    </rPh>
    <rPh sb="25" eb="26">
      <t>ガツ</t>
    </rPh>
    <rPh sb="28" eb="29">
      <t>ニチ</t>
    </rPh>
    <phoneticPr fontId="5"/>
  </si>
  <si>
    <t>変更届（コード（2954287→)所在地（八王子市散田町３－８－２）、～平成28年10月1日）</t>
    <rPh sb="0" eb="2">
      <t>ヘンコウ</t>
    </rPh>
    <rPh sb="2" eb="3">
      <t>トドケ</t>
    </rPh>
    <rPh sb="17" eb="20">
      <t>ショザイチ</t>
    </rPh>
    <rPh sb="21" eb="25">
      <t>ハチオウジシ</t>
    </rPh>
    <rPh sb="25" eb="28">
      <t>サンダマチ</t>
    </rPh>
    <rPh sb="36" eb="38">
      <t>ヘイセイ</t>
    </rPh>
    <rPh sb="40" eb="41">
      <t>ネン</t>
    </rPh>
    <rPh sb="43" eb="44">
      <t>ガツ</t>
    </rPh>
    <rPh sb="45" eb="46">
      <t>ニチ</t>
    </rPh>
    <phoneticPr fontId="5"/>
  </si>
  <si>
    <t>変更届（コード（2955177→）所在地（八王子市散田町３－１０－１）、～平成30年５月31日）</t>
    <rPh sb="0" eb="3">
      <t>ヘンコウトドケ</t>
    </rPh>
    <rPh sb="17" eb="20">
      <t>ショザイチ</t>
    </rPh>
    <rPh sb="37" eb="39">
      <t>ヘイセイ</t>
    </rPh>
    <rPh sb="41" eb="42">
      <t>ネン</t>
    </rPh>
    <rPh sb="43" eb="44">
      <t>ガツ</t>
    </rPh>
    <rPh sb="46" eb="47">
      <t>ニチ</t>
    </rPh>
    <phoneticPr fontId="6"/>
  </si>
  <si>
    <t>変更届(開設者変更（大塚　吉史→新井　勝))～令和2年7月1日</t>
    <rPh sb="0" eb="2">
      <t>ヘンコウ</t>
    </rPh>
    <rPh sb="2" eb="3">
      <t>トドケ</t>
    </rPh>
    <rPh sb="4" eb="6">
      <t>カイセツ</t>
    </rPh>
    <rPh sb="6" eb="7">
      <t>シャ</t>
    </rPh>
    <rPh sb="7" eb="9">
      <t>ヘンコウ</t>
    </rPh>
    <rPh sb="10" eb="12">
      <t>オオツカ</t>
    </rPh>
    <rPh sb="13" eb="14">
      <t>ヨシ</t>
    </rPh>
    <rPh sb="14" eb="15">
      <t>フミ</t>
    </rPh>
    <rPh sb="16" eb="18">
      <t>アライ</t>
    </rPh>
    <rPh sb="19" eb="20">
      <t>マサル</t>
    </rPh>
    <rPh sb="23" eb="25">
      <t>レイワ</t>
    </rPh>
    <rPh sb="26" eb="27">
      <t>ネン</t>
    </rPh>
    <rPh sb="28" eb="29">
      <t>ガツ</t>
    </rPh>
    <rPh sb="30" eb="31">
      <t>ニチ</t>
    </rPh>
    <phoneticPr fontId="6"/>
  </si>
  <si>
    <t>2-57</t>
  </si>
  <si>
    <t>コスモファーマシーすずらん薬局</t>
  </si>
  <si>
    <t>193-0845</t>
    <phoneticPr fontId="6"/>
  </si>
  <si>
    <t>八王子市初沢町１２７７－７</t>
    <rPh sb="4" eb="6">
      <t>ハツサワ</t>
    </rPh>
    <phoneticPr fontId="5"/>
  </si>
  <si>
    <t>042-668-1241</t>
  </si>
  <si>
    <t>有限会社コスモファーマシー</t>
  </si>
  <si>
    <t>157-0066</t>
    <phoneticPr fontId="6"/>
  </si>
  <si>
    <t>東京都世田谷区成城７－８－１８</t>
    <rPh sb="0" eb="7">
      <t>トウキョウトセタガヤク</t>
    </rPh>
    <rPh sb="7" eb="9">
      <t>セイジョウ</t>
    </rPh>
    <phoneticPr fontId="5"/>
  </si>
  <si>
    <t>橋本　咲帆</t>
    <rPh sb="0" eb="2">
      <t>ハシモト</t>
    </rPh>
    <rPh sb="3" eb="4">
      <t>サ</t>
    </rPh>
    <rPh sb="4" eb="5">
      <t>ホ</t>
    </rPh>
    <phoneticPr fontId="6"/>
  </si>
  <si>
    <t>変更届(吉田　善紀、～令和7年9月30日）</t>
    <rPh sb="0" eb="2">
      <t>ヘンコウ</t>
    </rPh>
    <rPh sb="2" eb="3">
      <t>トドケ</t>
    </rPh>
    <rPh sb="11" eb="13">
      <t>レイワ</t>
    </rPh>
    <rPh sb="14" eb="15">
      <t>トシ</t>
    </rPh>
    <rPh sb="16" eb="17">
      <t>ガツ</t>
    </rPh>
    <rPh sb="19" eb="20">
      <t>ニチ</t>
    </rPh>
    <phoneticPr fontId="5"/>
  </si>
  <si>
    <t>6八福障第5356号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</si>
  <si>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変更届（薬局所在地（八王子市東浅川町５４８－１　１階(ｺｰﾄﾞ2952018)→）、～平成22年11月30日）</t>
    <rPh sb="0" eb="2">
      <t>ヘンコウ</t>
    </rPh>
    <rPh sb="2" eb="3">
      <t>トドケ</t>
    </rPh>
    <rPh sb="4" eb="6">
      <t>ヤッキョク</t>
    </rPh>
    <rPh sb="6" eb="9">
      <t>ショザイチ</t>
    </rPh>
    <rPh sb="43" eb="45">
      <t>ヘイセイ</t>
    </rPh>
    <rPh sb="47" eb="48">
      <t>ネン</t>
    </rPh>
    <rPh sb="50" eb="51">
      <t>ガツ</t>
    </rPh>
    <rPh sb="53" eb="54">
      <t>ニチ</t>
    </rPh>
    <phoneticPr fontId="5"/>
  </si>
  <si>
    <t>変更届（代表取締役　吉田　善紀→中川　広美、開設者の住所：東京都町田市中町2-14-5→東京都世田谷区成城7-8-18、変更日：令和6年9月30日）</t>
    <rPh sb="0" eb="2">
      <t>ヘンコウ</t>
    </rPh>
    <rPh sb="2" eb="3">
      <t>トドケ</t>
    </rPh>
    <rPh sb="4" eb="6">
      <t>ダイヒョウ</t>
    </rPh>
    <rPh sb="6" eb="9">
      <t>トリシマリヤク</t>
    </rPh>
    <rPh sb="10" eb="12">
      <t>ヨシダ</t>
    </rPh>
    <rPh sb="13" eb="14">
      <t>ゼン</t>
    </rPh>
    <rPh sb="14" eb="15">
      <t>ノリ</t>
    </rPh>
    <rPh sb="16" eb="18">
      <t>ナカガワ</t>
    </rPh>
    <rPh sb="19" eb="21">
      <t>ヒロミ</t>
    </rPh>
    <rPh sb="22" eb="24">
      <t>カイセツ</t>
    </rPh>
    <rPh sb="24" eb="25">
      <t>シャ</t>
    </rPh>
    <rPh sb="26" eb="28">
      <t>ジュウショ</t>
    </rPh>
    <rPh sb="29" eb="32">
      <t>トウキョウト</t>
    </rPh>
    <rPh sb="32" eb="34">
      <t>マチダ</t>
    </rPh>
    <rPh sb="34" eb="35">
      <t>シ</t>
    </rPh>
    <rPh sb="35" eb="36">
      <t>ナカ</t>
    </rPh>
    <rPh sb="36" eb="37">
      <t>チョウ</t>
    </rPh>
    <rPh sb="44" eb="47">
      <t>トウキョウト</t>
    </rPh>
    <rPh sb="47" eb="50">
      <t>セタガヤ</t>
    </rPh>
    <rPh sb="50" eb="51">
      <t>ク</t>
    </rPh>
    <rPh sb="51" eb="53">
      <t>セイジョウ</t>
    </rPh>
    <rPh sb="60" eb="63">
      <t>ヘンコウビ</t>
    </rPh>
    <rPh sb="64" eb="66">
      <t>レイワ</t>
    </rPh>
    <rPh sb="67" eb="68">
      <t>ネン</t>
    </rPh>
    <rPh sb="69" eb="70">
      <t>ガツ</t>
    </rPh>
    <rPh sb="72" eb="73">
      <t>ニチ</t>
    </rPh>
    <phoneticPr fontId="6"/>
  </si>
  <si>
    <t>2-58</t>
  </si>
  <si>
    <t>日本調剤　八王子薬局</t>
    <rPh sb="0" eb="2">
      <t>ニホン</t>
    </rPh>
    <rPh sb="2" eb="4">
      <t>チョウザイ</t>
    </rPh>
    <rPh sb="5" eb="8">
      <t>ハチオウジ</t>
    </rPh>
    <rPh sb="8" eb="10">
      <t>ヤッキョク</t>
    </rPh>
    <phoneticPr fontId="5"/>
  </si>
  <si>
    <t>192-0046</t>
    <phoneticPr fontId="6"/>
  </si>
  <si>
    <t>八王子市明神町４－９－７　京王八王子西口ビル１階</t>
    <rPh sb="0" eb="4">
      <t>ハチオウジシ</t>
    </rPh>
    <rPh sb="4" eb="7">
      <t>ミョウジンチョウ</t>
    </rPh>
    <rPh sb="13" eb="15">
      <t>ケイオウ</t>
    </rPh>
    <rPh sb="15" eb="18">
      <t>ハチオウジ</t>
    </rPh>
    <rPh sb="18" eb="20">
      <t>ニシグチ</t>
    </rPh>
    <rPh sb="23" eb="24">
      <t>カイ</t>
    </rPh>
    <phoneticPr fontId="5"/>
  </si>
  <si>
    <t>042-643-5270</t>
  </si>
  <si>
    <t>100-6737</t>
  </si>
  <si>
    <t>東京都千代田区丸の内１－９－１</t>
    <rPh sb="0" eb="2">
      <t>トウキョウ</t>
    </rPh>
    <rPh sb="2" eb="3">
      <t>ト</t>
    </rPh>
    <rPh sb="3" eb="7">
      <t>チヨダク</t>
    </rPh>
    <rPh sb="7" eb="8">
      <t>マル</t>
    </rPh>
    <rPh sb="9" eb="10">
      <t>ウチ</t>
    </rPh>
    <phoneticPr fontId="5"/>
  </si>
  <si>
    <t>佐々木　純</t>
    <rPh sb="0" eb="3">
      <t>ササキ</t>
    </rPh>
    <rPh sb="4" eb="5">
      <t>ジュン</t>
    </rPh>
    <phoneticPr fontId="5"/>
  </si>
  <si>
    <t>23福保障計第197号</t>
  </si>
  <si>
    <t>辞退届（平成23年７月31日辞退、薬剤師不在）</t>
    <rPh sb="17" eb="19">
      <t>ヤクザイ</t>
    </rPh>
    <rPh sb="19" eb="20">
      <t>シ</t>
    </rPh>
    <rPh sb="20" eb="22">
      <t>フザイ</t>
    </rPh>
    <phoneticPr fontId="5"/>
  </si>
  <si>
    <t>日本調剤八王子薬局</t>
    <rPh sb="0" eb="2">
      <t>ニホン</t>
    </rPh>
    <rPh sb="2" eb="4">
      <t>チョウザイ</t>
    </rPh>
    <rPh sb="4" eb="7">
      <t>ハチオウジ</t>
    </rPh>
    <rPh sb="7" eb="9">
      <t>ヤッキョク</t>
    </rPh>
    <phoneticPr fontId="5"/>
  </si>
  <si>
    <t>日本調剤株式会社</t>
    <rPh sb="0" eb="2">
      <t>ニホン</t>
    </rPh>
    <rPh sb="2" eb="4">
      <t>チョウザイ</t>
    </rPh>
    <rPh sb="4" eb="6">
      <t>カブシキ</t>
    </rPh>
    <rPh sb="6" eb="8">
      <t>ガイシャ</t>
    </rPh>
    <phoneticPr fontId="5"/>
  </si>
  <si>
    <t>吉留　貴瑛</t>
    <rPh sb="0" eb="2">
      <t>ヨシトメ</t>
    </rPh>
    <rPh sb="3" eb="4">
      <t>キ</t>
    </rPh>
    <rPh sb="4" eb="5">
      <t>エイ</t>
    </rPh>
    <phoneticPr fontId="6"/>
  </si>
  <si>
    <t>変更届（山口　剛志、～令和5年7月31日</t>
    <rPh sb="0" eb="2">
      <t>ヘンコウ</t>
    </rPh>
    <rPh sb="2" eb="3">
      <t>トドケ</t>
    </rPh>
    <rPh sb="4" eb="6">
      <t>ヤマグチ</t>
    </rPh>
    <rPh sb="7" eb="9">
      <t>ツヨシ</t>
    </rPh>
    <rPh sb="11" eb="13">
      <t>レイワ</t>
    </rPh>
    <rPh sb="14" eb="15">
      <t>ネン</t>
    </rPh>
    <rPh sb="16" eb="17">
      <t>ガツ</t>
    </rPh>
    <rPh sb="19" eb="20">
      <t>ニチ</t>
    </rPh>
    <phoneticPr fontId="6"/>
  </si>
  <si>
    <t>23福保障計第1868号</t>
  </si>
  <si>
    <t>5八福障第6667号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6"/>
  </si>
  <si>
    <t>変更届（小峯　雪乃、～令和元年５月１日）</t>
    <rPh sb="0" eb="2">
      <t>ヘンコウ</t>
    </rPh>
    <rPh sb="2" eb="3">
      <t>トド</t>
    </rPh>
    <rPh sb="11" eb="12">
      <t>レイ</t>
    </rPh>
    <rPh sb="12" eb="13">
      <t>ワ</t>
    </rPh>
    <rPh sb="13" eb="15">
      <t>ガンネン</t>
    </rPh>
    <rPh sb="16" eb="17">
      <t>ツキ</t>
    </rPh>
    <rPh sb="18" eb="19">
      <t>ヒ</t>
    </rPh>
    <phoneticPr fontId="5"/>
  </si>
  <si>
    <t>2-59</t>
  </si>
  <si>
    <t>クリーン薬局　</t>
    <rPh sb="4" eb="6">
      <t>ヤッキョク</t>
    </rPh>
    <phoneticPr fontId="5"/>
  </si>
  <si>
    <t>192-0083</t>
    <phoneticPr fontId="6"/>
  </si>
  <si>
    <t>八王子市旭町１１－１１</t>
    <rPh sb="0" eb="4">
      <t>ハチオウジシ</t>
    </rPh>
    <rPh sb="4" eb="5">
      <t>アサヒ</t>
    </rPh>
    <rPh sb="5" eb="6">
      <t>チョウ</t>
    </rPh>
    <phoneticPr fontId="5"/>
  </si>
  <si>
    <t>042-649-9615</t>
    <phoneticPr fontId="6"/>
  </si>
  <si>
    <t>有限会社晶栄薬品</t>
    <rPh sb="0" eb="2">
      <t>ユウゲン</t>
    </rPh>
    <rPh sb="2" eb="4">
      <t>カイシャ</t>
    </rPh>
    <rPh sb="4" eb="5">
      <t>アキラ</t>
    </rPh>
    <rPh sb="5" eb="6">
      <t>エイ</t>
    </rPh>
    <rPh sb="6" eb="8">
      <t>ヤクヒン</t>
    </rPh>
    <phoneticPr fontId="5"/>
  </si>
  <si>
    <t>東京都八王子市旭町１１－１１</t>
    <rPh sb="0" eb="3">
      <t>トウキョウト</t>
    </rPh>
    <rPh sb="3" eb="7">
      <t>ハチオウジシ</t>
    </rPh>
    <rPh sb="7" eb="9">
      <t>アサヒマチ</t>
    </rPh>
    <phoneticPr fontId="6"/>
  </si>
  <si>
    <t>永山　美保</t>
    <rPh sb="0" eb="2">
      <t>ナガヤマ</t>
    </rPh>
    <rPh sb="3" eb="5">
      <t>ミホ</t>
    </rPh>
    <phoneticPr fontId="5"/>
  </si>
  <si>
    <t>23福保障計第491号</t>
  </si>
  <si>
    <t>5八福障収第3160号</t>
    <rPh sb="1" eb="2">
      <t>ハチ</t>
    </rPh>
    <rPh sb="2" eb="3">
      <t>フク</t>
    </rPh>
    <rPh sb="3" eb="4">
      <t>ショウ</t>
    </rPh>
    <rPh sb="4" eb="5">
      <t>シュウ</t>
    </rPh>
    <rPh sb="5" eb="6">
      <t>ダイ</t>
    </rPh>
    <rPh sb="10" eb="11">
      <t>ゴウ</t>
    </rPh>
    <phoneticPr fontId="6"/>
  </si>
  <si>
    <t>変更届（開設者所在地（山梨県韮崎市本町１－１７－１８　→）、～平成30年７月２日）</t>
    <rPh sb="4" eb="7">
      <t>カイセツシャ</t>
    </rPh>
    <rPh sb="7" eb="10">
      <t>ショザイチ</t>
    </rPh>
    <phoneticPr fontId="6"/>
  </si>
  <si>
    <t>2-60</t>
  </si>
  <si>
    <t>なの花薬局　八王子みなみ野店</t>
    <rPh sb="2" eb="3">
      <t>ハナ</t>
    </rPh>
    <rPh sb="3" eb="5">
      <t>ヤッキョク</t>
    </rPh>
    <rPh sb="6" eb="9">
      <t>ハチオウジ</t>
    </rPh>
    <rPh sb="12" eb="13">
      <t>ノ</t>
    </rPh>
    <rPh sb="13" eb="14">
      <t>テン</t>
    </rPh>
    <phoneticPr fontId="5"/>
  </si>
  <si>
    <t>192-0918</t>
  </si>
  <si>
    <t>八王子市兵衛１－２５－５　ソレイユ店舗Ｃ</t>
    <rPh sb="0" eb="4">
      <t>ハチオウジシ</t>
    </rPh>
    <rPh sb="4" eb="5">
      <t>ヘイ</t>
    </rPh>
    <rPh sb="5" eb="6">
      <t>マモル</t>
    </rPh>
    <rPh sb="17" eb="19">
      <t>テンポ</t>
    </rPh>
    <phoneticPr fontId="5"/>
  </si>
  <si>
    <t>042-638-0733</t>
  </si>
  <si>
    <t>株式会社なの花東日本</t>
    <rPh sb="0" eb="2">
      <t>カブシキ</t>
    </rPh>
    <rPh sb="2" eb="4">
      <t>カイシャ</t>
    </rPh>
    <rPh sb="6" eb="7">
      <t>ハナ</t>
    </rPh>
    <rPh sb="7" eb="8">
      <t>ヒガシ</t>
    </rPh>
    <rPh sb="8" eb="10">
      <t>ニホン</t>
    </rPh>
    <phoneticPr fontId="5"/>
  </si>
  <si>
    <t>105-0001</t>
    <phoneticPr fontId="6"/>
  </si>
  <si>
    <t>東京都港区虎ノ門１－１－１８</t>
    <rPh sb="0" eb="3">
      <t>トウキョウト</t>
    </rPh>
    <rPh sb="3" eb="5">
      <t>ミナトク</t>
    </rPh>
    <rPh sb="5" eb="6">
      <t>トラ</t>
    </rPh>
    <rPh sb="7" eb="8">
      <t>モン</t>
    </rPh>
    <phoneticPr fontId="6"/>
  </si>
  <si>
    <t>金子　紗永美</t>
    <rPh sb="0" eb="2">
      <t>カネコ</t>
    </rPh>
    <rPh sb="3" eb="4">
      <t>シャ</t>
    </rPh>
    <rPh sb="4" eb="5">
      <t>エイ</t>
    </rPh>
    <rPh sb="5" eb="6">
      <t>ミ</t>
    </rPh>
    <phoneticPr fontId="6"/>
  </si>
  <si>
    <t>変更届（川代　奈美、～令和3年8月1日）</t>
    <rPh sb="0" eb="2">
      <t>ヘンコウ</t>
    </rPh>
    <rPh sb="2" eb="3">
      <t>トド</t>
    </rPh>
    <rPh sb="11" eb="12">
      <t>レイ</t>
    </rPh>
    <rPh sb="12" eb="13">
      <t>ワ</t>
    </rPh>
    <rPh sb="14" eb="15">
      <t>ネン</t>
    </rPh>
    <rPh sb="16" eb="17">
      <t>ガツ</t>
    </rPh>
    <rPh sb="18" eb="19">
      <t>ヒ</t>
    </rPh>
    <phoneticPr fontId="5"/>
  </si>
  <si>
    <t>5八福障第2026号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6"/>
  </si>
  <si>
    <t>変更届（コード4954436→、開設者（株）エム・エス経営企画　～平成27年11月1日</t>
    <rPh sb="0" eb="3">
      <t>ヘンコウトドケ</t>
    </rPh>
    <rPh sb="16" eb="19">
      <t>カイセツシャ</t>
    </rPh>
    <rPh sb="20" eb="21">
      <t>カブ</t>
    </rPh>
    <rPh sb="27" eb="29">
      <t>ケイエイ</t>
    </rPh>
    <rPh sb="29" eb="31">
      <t>キカク</t>
    </rPh>
    <rPh sb="33" eb="35">
      <t>ヘイセイ</t>
    </rPh>
    <rPh sb="37" eb="38">
      <t>ネン</t>
    </rPh>
    <rPh sb="40" eb="41">
      <t>ツキ</t>
    </rPh>
    <rPh sb="42" eb="43">
      <t>ニチ</t>
    </rPh>
    <phoneticPr fontId="6"/>
  </si>
  <si>
    <t>変更届（医療機関名サンヨー薬局・八王子みなみ野店→、開設者所在地（港区西新橋1-7-1）→、～平成28年2月1日）</t>
    <rPh sb="0" eb="3">
      <t>ヘンコウトドケ</t>
    </rPh>
    <rPh sb="4" eb="6">
      <t>イリョウ</t>
    </rPh>
    <rPh sb="6" eb="8">
      <t>キカン</t>
    </rPh>
    <rPh sb="8" eb="9">
      <t>メイ</t>
    </rPh>
    <rPh sb="13" eb="15">
      <t>ヤッキョク</t>
    </rPh>
    <rPh sb="16" eb="19">
      <t>ハチオウジ</t>
    </rPh>
    <rPh sb="22" eb="23">
      <t>ノ</t>
    </rPh>
    <rPh sb="23" eb="24">
      <t>テン</t>
    </rPh>
    <rPh sb="29" eb="32">
      <t>ショザイチ</t>
    </rPh>
    <rPh sb="47" eb="49">
      <t>ヘイセイ</t>
    </rPh>
    <rPh sb="51" eb="52">
      <t>ネン</t>
    </rPh>
    <rPh sb="53" eb="54">
      <t>ガツ</t>
    </rPh>
    <rPh sb="55" eb="56">
      <t>ニチ</t>
    </rPh>
    <phoneticPr fontId="6"/>
  </si>
  <si>
    <t>変更届（開設者名称（株式会社サンメディック→）、～平成29年9月30日）</t>
    <rPh sb="0" eb="2">
      <t>ヘンコウ</t>
    </rPh>
    <rPh sb="2" eb="3">
      <t>トドケ</t>
    </rPh>
    <rPh sb="4" eb="7">
      <t>カイセツシャ</t>
    </rPh>
    <rPh sb="7" eb="9">
      <t>メイショウ</t>
    </rPh>
    <rPh sb="10" eb="14">
      <t>カブシキガイシャ</t>
    </rPh>
    <rPh sb="25" eb="27">
      <t>ヘイセイ</t>
    </rPh>
    <rPh sb="29" eb="30">
      <t>ネン</t>
    </rPh>
    <rPh sb="31" eb="32">
      <t>ガツ</t>
    </rPh>
    <rPh sb="34" eb="35">
      <t>ニチ</t>
    </rPh>
    <phoneticPr fontId="5"/>
  </si>
  <si>
    <t>変更届(代表取締役：遠山　功→西尾　哲弥)、変更日：令和7年6月13日</t>
    <rPh sb="10" eb="12">
      <t>トオヤマ</t>
    </rPh>
    <rPh sb="13" eb="14">
      <t>イサオ</t>
    </rPh>
    <rPh sb="15" eb="17">
      <t>ニシオ</t>
    </rPh>
    <rPh sb="18" eb="20">
      <t>テツヤ</t>
    </rPh>
    <phoneticPr fontId="6"/>
  </si>
  <si>
    <t>2-61</t>
  </si>
  <si>
    <t>QOLサポートクオール薬局　京王八王子店</t>
    <rPh sb="11" eb="13">
      <t>ヤッキョク</t>
    </rPh>
    <rPh sb="14" eb="16">
      <t>ケイオウ</t>
    </rPh>
    <rPh sb="16" eb="19">
      <t>ハチオウジ</t>
    </rPh>
    <rPh sb="19" eb="20">
      <t>テン</t>
    </rPh>
    <phoneticPr fontId="5"/>
  </si>
  <si>
    <t>八王子市明神町４－７－１４　八王子ＯＮビル１階</t>
    <rPh sb="0" eb="4">
      <t>ハチオウジシ</t>
    </rPh>
    <rPh sb="4" eb="6">
      <t>ミョウジン</t>
    </rPh>
    <rPh sb="6" eb="7">
      <t>マチ</t>
    </rPh>
    <rPh sb="14" eb="17">
      <t>ハチオウジ</t>
    </rPh>
    <rPh sb="22" eb="23">
      <t>カイ</t>
    </rPh>
    <phoneticPr fontId="5"/>
  </si>
  <si>
    <t>042-649-2690</t>
  </si>
  <si>
    <t>東京都港区虎ノ門４－３－１　城山トラストタワー３７階</t>
    <rPh sb="0" eb="3">
      <t>トウキョウト</t>
    </rPh>
    <rPh sb="3" eb="5">
      <t>ミナトク</t>
    </rPh>
    <rPh sb="5" eb="6">
      <t>トラ</t>
    </rPh>
    <rPh sb="7" eb="8">
      <t>モン</t>
    </rPh>
    <rPh sb="14" eb="16">
      <t>シロヤマ</t>
    </rPh>
    <rPh sb="25" eb="26">
      <t>カイ</t>
    </rPh>
    <phoneticPr fontId="5"/>
  </si>
  <si>
    <t>塙　真美子</t>
    <rPh sb="0" eb="1">
      <t>ハナワ</t>
    </rPh>
    <rPh sb="2" eb="5">
      <t>マミコ</t>
    </rPh>
    <phoneticPr fontId="6"/>
  </si>
  <si>
    <t>変更届（髙橋　紀章、～令和4年2月2日）</t>
    <rPh sb="0" eb="2">
      <t>ヘンコウ</t>
    </rPh>
    <rPh sb="2" eb="3">
      <t>トド</t>
    </rPh>
    <rPh sb="11" eb="13">
      <t>レイワ</t>
    </rPh>
    <rPh sb="14" eb="15">
      <t>トシ</t>
    </rPh>
    <rPh sb="16" eb="17">
      <t>ガツ</t>
    </rPh>
    <rPh sb="18" eb="19">
      <t>ヒ</t>
    </rPh>
    <phoneticPr fontId="5"/>
  </si>
  <si>
    <t>23福保障計第722号</t>
  </si>
  <si>
    <t>変更届（開設者名称（ジーエムキュー　株式会社(ｺｰﾄﾞ2954469)→）、～平成25年２月28日）</t>
    <rPh sb="0" eb="2">
      <t>ヘンコウ</t>
    </rPh>
    <rPh sb="2" eb="3">
      <t>トドケ</t>
    </rPh>
    <rPh sb="4" eb="6">
      <t>カイセツ</t>
    </rPh>
    <rPh sb="6" eb="7">
      <t>シャ</t>
    </rPh>
    <rPh sb="7" eb="9">
      <t>メイショウ</t>
    </rPh>
    <rPh sb="18" eb="22">
      <t>カブシキガイシャ</t>
    </rPh>
    <rPh sb="39" eb="40">
      <t>シゲル</t>
    </rPh>
    <rPh sb="40" eb="42">
      <t>２１</t>
    </rPh>
    <rPh sb="43" eb="44">
      <t>１</t>
    </rPh>
    <rPh sb="45" eb="47">
      <t>２８</t>
    </rPh>
    <rPh sb="48" eb="49">
      <t>）</t>
    </rPh>
    <phoneticPr fontId="5"/>
  </si>
  <si>
    <t>変更届（医療機関名M＆M薬局京王八王子店→、～平成28年5月31日）</t>
    <rPh sb="0" eb="3">
      <t>ヘンコウトドケ</t>
    </rPh>
    <rPh sb="4" eb="6">
      <t>イリョウ</t>
    </rPh>
    <rPh sb="6" eb="8">
      <t>キカン</t>
    </rPh>
    <rPh sb="8" eb="9">
      <t>メイ</t>
    </rPh>
    <rPh sb="12" eb="14">
      <t>ヤッキョク</t>
    </rPh>
    <rPh sb="14" eb="20">
      <t>ケイオウハチオウジテン</t>
    </rPh>
    <rPh sb="23" eb="25">
      <t>ヘイセイ</t>
    </rPh>
    <rPh sb="27" eb="28">
      <t>ネン</t>
    </rPh>
    <rPh sb="29" eb="30">
      <t>ガツ</t>
    </rPh>
    <rPh sb="32" eb="33">
      <t>ニチ</t>
    </rPh>
    <phoneticPr fontId="6"/>
  </si>
  <si>
    <t>変更届（コード2954725→、～平成30年9月30日）</t>
    <phoneticPr fontId="6"/>
  </si>
  <si>
    <t>2-62</t>
  </si>
  <si>
    <t>セイジョー薬局　八王子北口店</t>
    <rPh sb="5" eb="7">
      <t>ヤッキョク</t>
    </rPh>
    <rPh sb="8" eb="11">
      <t>ハチオウジ</t>
    </rPh>
    <rPh sb="11" eb="13">
      <t>キタグチ</t>
    </rPh>
    <rPh sb="13" eb="14">
      <t>テン</t>
    </rPh>
    <phoneticPr fontId="5"/>
  </si>
  <si>
    <t>192-0085</t>
  </si>
  <si>
    <t>八王子市中町５－１　八王子中町ビル１階</t>
    <rPh sb="0" eb="4">
      <t>ハチオウジシ</t>
    </rPh>
    <rPh sb="4" eb="6">
      <t>ナカマチ</t>
    </rPh>
    <rPh sb="10" eb="13">
      <t>ハチオウジ</t>
    </rPh>
    <rPh sb="13" eb="15">
      <t>ナカマチ</t>
    </rPh>
    <rPh sb="18" eb="19">
      <t>カイ</t>
    </rPh>
    <phoneticPr fontId="5"/>
  </si>
  <si>
    <t>042-620-5890</t>
  </si>
  <si>
    <t>株式会社セイジョー</t>
    <rPh sb="0" eb="2">
      <t>カブシキ</t>
    </rPh>
    <rPh sb="2" eb="4">
      <t>カイシャ</t>
    </rPh>
    <phoneticPr fontId="5"/>
  </si>
  <si>
    <t>鈴木　大輔</t>
    <rPh sb="0" eb="2">
      <t>スズキ</t>
    </rPh>
    <rPh sb="3" eb="5">
      <t>ダイスケ</t>
    </rPh>
    <phoneticPr fontId="5"/>
  </si>
  <si>
    <t>廃止届（平成24年８月７日廃止、薬局廃止）</t>
    <rPh sb="0" eb="2">
      <t>ハイシ</t>
    </rPh>
    <rPh sb="2" eb="3">
      <t>トド</t>
    </rPh>
    <rPh sb="4" eb="6">
      <t>ヘイセイ</t>
    </rPh>
    <rPh sb="8" eb="9">
      <t>ネン</t>
    </rPh>
    <rPh sb="10" eb="11">
      <t>ガツ</t>
    </rPh>
    <rPh sb="12" eb="13">
      <t>ニチ</t>
    </rPh>
    <rPh sb="13" eb="15">
      <t>ハイシ</t>
    </rPh>
    <rPh sb="16" eb="18">
      <t>ヤッキョク</t>
    </rPh>
    <rPh sb="18" eb="20">
      <t>ハイシ</t>
    </rPh>
    <phoneticPr fontId="5"/>
  </si>
  <si>
    <t>2-63</t>
  </si>
  <si>
    <t>南山堂薬局　八王子店</t>
    <rPh sb="0" eb="2">
      <t>ナンザン</t>
    </rPh>
    <rPh sb="2" eb="3">
      <t>ドウ</t>
    </rPh>
    <rPh sb="3" eb="5">
      <t>ヤッキョク</t>
    </rPh>
    <rPh sb="6" eb="9">
      <t>ハチオウジ</t>
    </rPh>
    <rPh sb="9" eb="10">
      <t>テン</t>
    </rPh>
    <phoneticPr fontId="5"/>
  </si>
  <si>
    <t>192-0081</t>
  </si>
  <si>
    <t>八王子市横山町２２－３　メディカルタワー八王子１階</t>
    <rPh sb="0" eb="4">
      <t>ハチオウジシ</t>
    </rPh>
    <rPh sb="4" eb="6">
      <t>ヨコヤマ</t>
    </rPh>
    <rPh sb="6" eb="7">
      <t>チョウ</t>
    </rPh>
    <rPh sb="20" eb="23">
      <t>ハチオウジ</t>
    </rPh>
    <rPh sb="24" eb="25">
      <t>カイ</t>
    </rPh>
    <phoneticPr fontId="5"/>
  </si>
  <si>
    <t>042-649-3541</t>
  </si>
  <si>
    <t>株式会社南山堂</t>
    <rPh sb="0" eb="2">
      <t>カブシキ</t>
    </rPh>
    <rPh sb="2" eb="4">
      <t>カイシャ</t>
    </rPh>
    <rPh sb="4" eb="6">
      <t>ナンザン</t>
    </rPh>
    <rPh sb="6" eb="7">
      <t>ドウ</t>
    </rPh>
    <phoneticPr fontId="5"/>
  </si>
  <si>
    <t>小山田　純子</t>
    <rPh sb="0" eb="3">
      <t>オヤマダ</t>
    </rPh>
    <rPh sb="4" eb="6">
      <t>ジュンコ</t>
    </rPh>
    <phoneticPr fontId="6"/>
  </si>
  <si>
    <t>変更届（中村　絵美、～令和3年9月1日）</t>
    <rPh sb="0" eb="2">
      <t>ヘンコウ</t>
    </rPh>
    <rPh sb="2" eb="3">
      <t>トド</t>
    </rPh>
    <rPh sb="11" eb="12">
      <t>レイ</t>
    </rPh>
    <rPh sb="12" eb="13">
      <t>ワ</t>
    </rPh>
    <rPh sb="16" eb="17">
      <t>ツキ</t>
    </rPh>
    <rPh sb="18" eb="19">
      <t>ヒ</t>
    </rPh>
    <phoneticPr fontId="5"/>
  </si>
  <si>
    <t>5八福障第6165号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6"/>
  </si>
  <si>
    <t>2-64</t>
  </si>
  <si>
    <t>つとむ薬局</t>
    <rPh sb="3" eb="5">
      <t>ヤッキョク</t>
    </rPh>
    <phoneticPr fontId="5"/>
  </si>
  <si>
    <t>八王子市高尾町１５６８－１</t>
    <rPh sb="0" eb="3">
      <t>ハチオウジ</t>
    </rPh>
    <rPh sb="3" eb="4">
      <t>シ</t>
    </rPh>
    <rPh sb="4" eb="6">
      <t>タカオ</t>
    </rPh>
    <phoneticPr fontId="5"/>
  </si>
  <si>
    <t>042-629-2660</t>
  </si>
  <si>
    <t>樋口　勉</t>
    <rPh sb="0" eb="2">
      <t>ヒグチ</t>
    </rPh>
    <rPh sb="3" eb="4">
      <t>ツトム</t>
    </rPh>
    <phoneticPr fontId="5"/>
  </si>
  <si>
    <t>東京都八王子市めじろ台２－１７７５－６－６０９</t>
    <phoneticPr fontId="6"/>
  </si>
  <si>
    <t>22福保障計第479号</t>
  </si>
  <si>
    <t>4八福障収第269号</t>
    <rPh sb="1" eb="2">
      <t>ハチ</t>
    </rPh>
    <rPh sb="2" eb="3">
      <t>フク</t>
    </rPh>
    <rPh sb="3" eb="4">
      <t>ショウ</t>
    </rPh>
    <rPh sb="4" eb="5">
      <t>シュウ</t>
    </rPh>
    <rPh sb="5" eb="6">
      <t>ダイ</t>
    </rPh>
    <rPh sb="9" eb="10">
      <t>ゴウ</t>
    </rPh>
    <phoneticPr fontId="6"/>
  </si>
  <si>
    <t>変更届（薬局所在地（八王子市高尾町１２１０－１(ｺｰﾄﾞ2953206)→、～平成23年10月31日））</t>
    <phoneticPr fontId="6"/>
  </si>
  <si>
    <t>更新申請（育成医療→なし）、～令和4年6月30日）</t>
    <rPh sb="0" eb="4">
      <t>コウシンシンセイ</t>
    </rPh>
    <rPh sb="5" eb="9">
      <t>イクセイイリョウ</t>
    </rPh>
    <rPh sb="15" eb="17">
      <t>レイワ</t>
    </rPh>
    <phoneticPr fontId="6"/>
  </si>
  <si>
    <t>2-65</t>
  </si>
  <si>
    <t>マリン薬局　八王子別所店</t>
    <rPh sb="3" eb="5">
      <t>ヤッキョク</t>
    </rPh>
    <rPh sb="6" eb="9">
      <t>ハチオウジ</t>
    </rPh>
    <rPh sb="9" eb="11">
      <t>ベッショ</t>
    </rPh>
    <rPh sb="11" eb="12">
      <t>テン</t>
    </rPh>
    <phoneticPr fontId="5"/>
  </si>
  <si>
    <t>192-0363</t>
  </si>
  <si>
    <t>八王子市別所１－２６－１４</t>
    <rPh sb="0" eb="4">
      <t>ハチオウジシ</t>
    </rPh>
    <rPh sb="4" eb="6">
      <t>ベッショ</t>
    </rPh>
    <phoneticPr fontId="5"/>
  </si>
  <si>
    <t>042-670-1717</t>
  </si>
  <si>
    <t>株式会社ココカラファインヘルスケア</t>
    <rPh sb="0" eb="2">
      <t>カブシキ</t>
    </rPh>
    <rPh sb="2" eb="4">
      <t>カイシャ</t>
    </rPh>
    <phoneticPr fontId="5"/>
  </si>
  <si>
    <t>神奈川県横浜市港北区新横浜三丁目17番6号</t>
    <rPh sb="0" eb="4">
      <t>カナガワケン</t>
    </rPh>
    <rPh sb="4" eb="7">
      <t>ヨコハマシ</t>
    </rPh>
    <rPh sb="7" eb="10">
      <t>コウホクク</t>
    </rPh>
    <rPh sb="10" eb="13">
      <t>シンヨコハマ</t>
    </rPh>
    <rPh sb="13" eb="16">
      <t>サンチョウメ</t>
    </rPh>
    <rPh sb="18" eb="19">
      <t>バン</t>
    </rPh>
    <rPh sb="20" eb="21">
      <t>ゴウ</t>
    </rPh>
    <phoneticPr fontId="6"/>
  </si>
  <si>
    <t>清水　知恵子</t>
    <rPh sb="0" eb="2">
      <t>シミズ</t>
    </rPh>
    <rPh sb="3" eb="6">
      <t>チエコ</t>
    </rPh>
    <phoneticPr fontId="5"/>
  </si>
  <si>
    <t>変更届（茨木　直子　～令和5年4月30日）</t>
    <rPh sb="4" eb="6">
      <t>イバラキ</t>
    </rPh>
    <rPh sb="7" eb="9">
      <t>ナオコ</t>
    </rPh>
    <phoneticPr fontId="6"/>
  </si>
  <si>
    <t>5八福障第6668号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6"/>
  </si>
  <si>
    <t>変更届（開設者所在地（町田市小山町９２４－２→）、～平成28年12月31日）</t>
    <rPh sb="4" eb="7">
      <t>カイセツシャ</t>
    </rPh>
    <rPh sb="11" eb="14">
      <t>マチダシ</t>
    </rPh>
    <rPh sb="14" eb="17">
      <t>オヤマチョウ</t>
    </rPh>
    <phoneticPr fontId="6"/>
  </si>
  <si>
    <t>変更届（開設者氏名（朝倉啓介→小宅由明）、～令和3年7月20日）</t>
    <rPh sb="0" eb="2">
      <t>ヘンコウ</t>
    </rPh>
    <rPh sb="2" eb="3">
      <t>トドケ</t>
    </rPh>
    <rPh sb="4" eb="6">
      <t>カイセツ</t>
    </rPh>
    <rPh sb="6" eb="7">
      <t>シャ</t>
    </rPh>
    <rPh sb="7" eb="9">
      <t>シメイ</t>
    </rPh>
    <rPh sb="10" eb="12">
      <t>アサクラ</t>
    </rPh>
    <rPh sb="12" eb="14">
      <t>ケイスケ</t>
    </rPh>
    <rPh sb="15" eb="17">
      <t>コヤケ</t>
    </rPh>
    <rPh sb="17" eb="18">
      <t>ユ</t>
    </rPh>
    <rPh sb="18" eb="19">
      <t>アカ</t>
    </rPh>
    <rPh sb="22" eb="24">
      <t>レイワ</t>
    </rPh>
    <rPh sb="25" eb="26">
      <t>ネン</t>
    </rPh>
    <rPh sb="27" eb="28">
      <t>ガツ</t>
    </rPh>
    <rPh sb="30" eb="31">
      <t>ニチ</t>
    </rPh>
    <phoneticPr fontId="6"/>
  </si>
  <si>
    <t>変更届（薬局名称：マリン薬局　別所店→マリン薬局　八王子別所店、開設者氏名：株式会社マリン薬局　代表取締役　小宅　由明→株式会社ココカラファインヘルスケア　代表取締役　塚本　厚志、開設者住所：東京都多摩市唐木田1-1-7→神奈川県横浜市港北区新横浜3-17-6、医療機関コード：2954592→2955912、変更日：令和4年7月1日）</t>
    <rPh sb="0" eb="3">
      <t>ヘンコウトドケ</t>
    </rPh>
    <rPh sb="4" eb="8">
      <t>ヤッキョクメイショウ</t>
    </rPh>
    <rPh sb="12" eb="14">
      <t>ヤッキョク</t>
    </rPh>
    <rPh sb="15" eb="18">
      <t>ベッショテン</t>
    </rPh>
    <rPh sb="22" eb="24">
      <t>ヤッキョク</t>
    </rPh>
    <rPh sb="25" eb="28">
      <t>ハチオウジ</t>
    </rPh>
    <rPh sb="28" eb="31">
      <t>ベッショテン</t>
    </rPh>
    <rPh sb="32" eb="37">
      <t>カイセツシャシメイ</t>
    </rPh>
    <rPh sb="38" eb="42">
      <t>カブシキカイシャ</t>
    </rPh>
    <rPh sb="45" eb="47">
      <t>ヤッキョク</t>
    </rPh>
    <rPh sb="48" eb="50">
      <t>ダイヒョウ</t>
    </rPh>
    <rPh sb="50" eb="53">
      <t>トリシマリヤク</t>
    </rPh>
    <rPh sb="54" eb="56">
      <t>コヤケ</t>
    </rPh>
    <rPh sb="57" eb="58">
      <t>ヨシ</t>
    </rPh>
    <rPh sb="58" eb="59">
      <t>アキラ</t>
    </rPh>
    <rPh sb="60" eb="64">
      <t>カブシキカイシャ</t>
    </rPh>
    <rPh sb="78" eb="83">
      <t>ダイヒョウトリシマリヤク</t>
    </rPh>
    <rPh sb="84" eb="86">
      <t>ツカモト</t>
    </rPh>
    <rPh sb="87" eb="88">
      <t>アツシ</t>
    </rPh>
    <rPh sb="88" eb="89">
      <t>シ</t>
    </rPh>
    <rPh sb="90" eb="93">
      <t>カイセツシャ</t>
    </rPh>
    <rPh sb="93" eb="95">
      <t>ジュウショ</t>
    </rPh>
    <rPh sb="96" eb="99">
      <t>トウキョウト</t>
    </rPh>
    <rPh sb="99" eb="102">
      <t>タマシ</t>
    </rPh>
    <rPh sb="102" eb="105">
      <t>カラキダ</t>
    </rPh>
    <rPh sb="111" eb="124">
      <t>カナガワケンヨコハマシコウホククシンヨコハマ</t>
    </rPh>
    <rPh sb="131" eb="135">
      <t>イリョウキカン</t>
    </rPh>
    <rPh sb="155" eb="158">
      <t>ヘンコウビ</t>
    </rPh>
    <rPh sb="159" eb="161">
      <t>レイワ</t>
    </rPh>
    <rPh sb="162" eb="163">
      <t>ネン</t>
    </rPh>
    <rPh sb="164" eb="165">
      <t>ガツ</t>
    </rPh>
    <rPh sb="166" eb="167">
      <t>ニチ</t>
    </rPh>
    <phoneticPr fontId="6"/>
  </si>
  <si>
    <t>変更届(代表取締役変更：塚本　厚志→岡澤　隆弘、変更日：令和7年4月1日）</t>
    <rPh sb="0" eb="2">
      <t>ヘンコウ</t>
    </rPh>
    <rPh sb="2" eb="3">
      <t>トドケ</t>
    </rPh>
    <rPh sb="4" eb="6">
      <t>ダイヒョウ</t>
    </rPh>
    <rPh sb="6" eb="8">
      <t>トリシマリ</t>
    </rPh>
    <rPh sb="9" eb="11">
      <t>ヘンコウ</t>
    </rPh>
    <rPh sb="12" eb="14">
      <t>ツカモト</t>
    </rPh>
    <rPh sb="15" eb="16">
      <t>アツシ</t>
    </rPh>
    <rPh sb="16" eb="17">
      <t>ココロザシ</t>
    </rPh>
    <rPh sb="17" eb="18">
      <t>タキ</t>
    </rPh>
    <rPh sb="18" eb="20">
      <t>オカザワ</t>
    </rPh>
    <rPh sb="21" eb="23">
      <t>タカヒロ</t>
    </rPh>
    <rPh sb="23" eb="25">
      <t>ヘンコウ</t>
    </rPh>
    <rPh sb="25" eb="26">
      <t>ビ</t>
    </rPh>
    <rPh sb="27" eb="29">
      <t>レイワ</t>
    </rPh>
    <rPh sb="34" eb="35">
      <t>ニチ</t>
    </rPh>
    <phoneticPr fontId="6"/>
  </si>
  <si>
    <t>2-66</t>
  </si>
  <si>
    <t>みかん薬局　八王子店</t>
    <rPh sb="3" eb="5">
      <t>ヤッキョク</t>
    </rPh>
    <rPh sb="6" eb="9">
      <t>ハチオウジ</t>
    </rPh>
    <rPh sb="9" eb="10">
      <t>テン</t>
    </rPh>
    <phoneticPr fontId="5"/>
  </si>
  <si>
    <t>八王子横山町３－１３　矢島ビル１階</t>
    <rPh sb="0" eb="3">
      <t>ハチオウジ</t>
    </rPh>
    <rPh sb="3" eb="5">
      <t>ヨコヤマ</t>
    </rPh>
    <rPh sb="5" eb="6">
      <t>チョウ</t>
    </rPh>
    <rPh sb="11" eb="13">
      <t>ヤジマ</t>
    </rPh>
    <rPh sb="16" eb="17">
      <t>カイ</t>
    </rPh>
    <phoneticPr fontId="5"/>
  </si>
  <si>
    <t xml:space="preserve">042-660-0820 </t>
  </si>
  <si>
    <t>株式会社アド</t>
    <rPh sb="0" eb="2">
      <t>カブシキ</t>
    </rPh>
    <rPh sb="2" eb="4">
      <t>カイシャ</t>
    </rPh>
    <phoneticPr fontId="5"/>
  </si>
  <si>
    <t>190-0012</t>
    <phoneticPr fontId="6"/>
  </si>
  <si>
    <t>東京都立川市曙町１－１５－３
曙ＹＳビル４Ｆ</t>
    <rPh sb="0" eb="3">
      <t>トウキョウト</t>
    </rPh>
    <rPh sb="3" eb="6">
      <t>タチカワシ</t>
    </rPh>
    <rPh sb="6" eb="8">
      <t>アケボノチョウ</t>
    </rPh>
    <rPh sb="15" eb="16">
      <t>アケボノ</t>
    </rPh>
    <phoneticPr fontId="6"/>
  </si>
  <si>
    <t>荻野　倫啓</t>
    <rPh sb="0" eb="2">
      <t>オギノ</t>
    </rPh>
    <rPh sb="3" eb="4">
      <t>リン</t>
    </rPh>
    <rPh sb="4" eb="5">
      <t>ケイ</t>
    </rPh>
    <phoneticPr fontId="5"/>
  </si>
  <si>
    <t>変更届（古屋　恭子、～令和6年4月30日）</t>
    <rPh sb="0" eb="2">
      <t>ヘンコウ</t>
    </rPh>
    <rPh sb="2" eb="3">
      <t>トド</t>
    </rPh>
    <rPh sb="4" eb="6">
      <t>フルヤ</t>
    </rPh>
    <rPh sb="7" eb="9">
      <t>キョウコ</t>
    </rPh>
    <rPh sb="11" eb="13">
      <t>レイワ</t>
    </rPh>
    <rPh sb="14" eb="15">
      <t>トシ</t>
    </rPh>
    <rPh sb="16" eb="17">
      <t>ツキ</t>
    </rPh>
    <rPh sb="19" eb="20">
      <t>ヒ</t>
    </rPh>
    <phoneticPr fontId="5"/>
  </si>
  <si>
    <t>5八福障第6687号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6"/>
  </si>
  <si>
    <t>変更届（開設者住所：立川市曙町2-3-4→立川市曙町1-15-3　曙ＹＳビル4Ｆ、変更日：令和6年1月15日）</t>
    <rPh sb="4" eb="7">
      <t>カイセツシャ</t>
    </rPh>
    <rPh sb="7" eb="9">
      <t>ジュウショ</t>
    </rPh>
    <rPh sb="10" eb="13">
      <t>タチカワシ</t>
    </rPh>
    <rPh sb="13" eb="15">
      <t>アケボノチョウ</t>
    </rPh>
    <rPh sb="33" eb="36">
      <t>アケボノys</t>
    </rPh>
    <phoneticPr fontId="6"/>
  </si>
  <si>
    <t>2-67</t>
  </si>
  <si>
    <t>オレンジ薬局　西寺方店</t>
    <rPh sb="4" eb="6">
      <t>ヤッキョク</t>
    </rPh>
    <rPh sb="7" eb="8">
      <t>ニシ</t>
    </rPh>
    <rPh sb="8" eb="9">
      <t>テラ</t>
    </rPh>
    <rPh sb="9" eb="10">
      <t>カタ</t>
    </rPh>
    <rPh sb="10" eb="11">
      <t>テン</t>
    </rPh>
    <phoneticPr fontId="5"/>
  </si>
  <si>
    <t>192-0153</t>
  </si>
  <si>
    <t>八王子市西寺方町１３００－１</t>
    <rPh sb="0" eb="4">
      <t>ハチオウジシ</t>
    </rPh>
    <rPh sb="4" eb="5">
      <t>ニシ</t>
    </rPh>
    <rPh sb="5" eb="6">
      <t>テラ</t>
    </rPh>
    <rPh sb="6" eb="7">
      <t>カタ</t>
    </rPh>
    <rPh sb="7" eb="8">
      <t>チョウ</t>
    </rPh>
    <phoneticPr fontId="5"/>
  </si>
  <si>
    <t>042-659-2817</t>
  </si>
  <si>
    <t>有限会社オレンジビーカー</t>
    <rPh sb="0" eb="4">
      <t>ユウゲンガイシャ</t>
    </rPh>
    <phoneticPr fontId="5"/>
  </si>
  <si>
    <t>192-0041</t>
    <phoneticPr fontId="6"/>
  </si>
  <si>
    <t>東京都八王子市中野上町４－９－９</t>
    <rPh sb="0" eb="3">
      <t>トウキョウト</t>
    </rPh>
    <rPh sb="3" eb="7">
      <t>ハチオウジシ</t>
    </rPh>
    <rPh sb="7" eb="11">
      <t>ナカノカミチョウ</t>
    </rPh>
    <phoneticPr fontId="6"/>
  </si>
  <si>
    <t>篠原　菊子</t>
    <rPh sb="0" eb="2">
      <t>シノハラ</t>
    </rPh>
    <rPh sb="3" eb="5">
      <t>キクコ</t>
    </rPh>
    <phoneticPr fontId="6"/>
  </si>
  <si>
    <t>変更届（志田　勝都夫、～平成28年８月28日）</t>
    <rPh sb="0" eb="2">
      <t>ヘンコウ</t>
    </rPh>
    <rPh sb="2" eb="3">
      <t>トド</t>
    </rPh>
    <rPh sb="12" eb="14">
      <t>ヘイセイ</t>
    </rPh>
    <rPh sb="16" eb="17">
      <t>トシ</t>
    </rPh>
    <rPh sb="18" eb="19">
      <t>ツキ</t>
    </rPh>
    <rPh sb="21" eb="22">
      <t>ヒ</t>
    </rPh>
    <phoneticPr fontId="5"/>
  </si>
  <si>
    <t>24福保障計第236号</t>
  </si>
  <si>
    <t>5八福障第6662号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6"/>
  </si>
  <si>
    <t>2-68</t>
  </si>
  <si>
    <t>八王子メロン薬局</t>
    <rPh sb="0" eb="3">
      <t>ハチオウジ</t>
    </rPh>
    <rPh sb="6" eb="8">
      <t>ヤッキョク</t>
    </rPh>
    <phoneticPr fontId="6"/>
  </si>
  <si>
    <t>八王子市東町３－１１　プレイム八王子ビル１階</t>
    <rPh sb="0" eb="4">
      <t>ハチオウジシ</t>
    </rPh>
    <rPh sb="4" eb="5">
      <t>ヒガシ</t>
    </rPh>
    <rPh sb="5" eb="6">
      <t>マチ</t>
    </rPh>
    <rPh sb="15" eb="18">
      <t>ハチオウジ</t>
    </rPh>
    <rPh sb="21" eb="22">
      <t>カイ</t>
    </rPh>
    <phoneticPr fontId="5"/>
  </si>
  <si>
    <t>042-649-9861</t>
  </si>
  <si>
    <t>株式会社レンティック中部</t>
    <rPh sb="0" eb="2">
      <t>カブシキ</t>
    </rPh>
    <rPh sb="2" eb="4">
      <t>カイシャ</t>
    </rPh>
    <rPh sb="10" eb="12">
      <t>チュウブ</t>
    </rPh>
    <phoneticPr fontId="6"/>
  </si>
  <si>
    <t>430-0907</t>
    <phoneticPr fontId="6"/>
  </si>
  <si>
    <t>静岡県浜松市中区高林５－７－１３</t>
    <rPh sb="0" eb="3">
      <t>シズオカケン</t>
    </rPh>
    <rPh sb="3" eb="6">
      <t>ハママツシ</t>
    </rPh>
    <rPh sb="6" eb="8">
      <t>ナカク</t>
    </rPh>
    <rPh sb="8" eb="10">
      <t>タカバヤシ</t>
    </rPh>
    <phoneticPr fontId="6"/>
  </si>
  <si>
    <t>坂本　隆之</t>
    <rPh sb="0" eb="2">
      <t>サカモト</t>
    </rPh>
    <rPh sb="3" eb="5">
      <t>タカユキ</t>
    </rPh>
    <phoneticPr fontId="6"/>
  </si>
  <si>
    <t>変更届（豊田　陽祐、～平成31年4月30日）</t>
    <rPh sb="0" eb="2">
      <t>ヘンコウ</t>
    </rPh>
    <rPh sb="2" eb="3">
      <t>トド</t>
    </rPh>
    <rPh sb="11" eb="13">
      <t>ヘイセイ</t>
    </rPh>
    <rPh sb="15" eb="16">
      <t>トシ</t>
    </rPh>
    <rPh sb="17" eb="18">
      <t>ツキ</t>
    </rPh>
    <rPh sb="20" eb="21">
      <t>ヒ</t>
    </rPh>
    <phoneticPr fontId="5"/>
  </si>
  <si>
    <t>24福保障計第514号</t>
  </si>
  <si>
    <t>6八福障第1174号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6"/>
  </si>
  <si>
    <t>変更届（薬局名称（シンワ薬局　八王子店→）、開設者氏名（伸和株式会社→）、開設者住所（神奈川県相模原市南区相武台１－２５－７　ケイエスビル1階→）（医療機関コード（2954626→）～平成31年4月30日）</t>
    <rPh sb="22" eb="25">
      <t>カイセツシャ</t>
    </rPh>
    <rPh sb="25" eb="27">
      <t>シメイ</t>
    </rPh>
    <rPh sb="37" eb="40">
      <t>カイセツシャ</t>
    </rPh>
    <rPh sb="40" eb="42">
      <t>ジュウショ</t>
    </rPh>
    <phoneticPr fontId="6"/>
  </si>
  <si>
    <t>2-69</t>
  </si>
  <si>
    <t>日本調剤大和田薬局</t>
    <rPh sb="0" eb="2">
      <t>ニホン</t>
    </rPh>
    <rPh sb="2" eb="4">
      <t>チョウザイ</t>
    </rPh>
    <rPh sb="4" eb="7">
      <t>オオワダ</t>
    </rPh>
    <rPh sb="7" eb="9">
      <t>ヤッキョク</t>
    </rPh>
    <phoneticPr fontId="5"/>
  </si>
  <si>
    <t>八王子大和田町７－１８－６</t>
    <rPh sb="0" eb="3">
      <t>ハチオウジ</t>
    </rPh>
    <rPh sb="3" eb="7">
      <t>オオワダチョウ</t>
    </rPh>
    <phoneticPr fontId="5"/>
  </si>
  <si>
    <t>042-631-8655</t>
  </si>
  <si>
    <t>廣瀬　直美</t>
    <rPh sb="0" eb="2">
      <t>ヒロセ</t>
    </rPh>
    <rPh sb="3" eb="5">
      <t>ナオミ</t>
    </rPh>
    <phoneticPr fontId="5"/>
  </si>
  <si>
    <t>変更届（小池　洋輔　、～平成26年３月31日）</t>
    <rPh sb="0" eb="2">
      <t>ヘンコウ</t>
    </rPh>
    <rPh sb="2" eb="3">
      <t>トド</t>
    </rPh>
    <rPh sb="12" eb="14">
      <t>ヘイセイ</t>
    </rPh>
    <rPh sb="16" eb="17">
      <t>トシ</t>
    </rPh>
    <rPh sb="18" eb="19">
      <t>ツキ</t>
    </rPh>
    <rPh sb="21" eb="22">
      <t>ヒ</t>
    </rPh>
    <phoneticPr fontId="5"/>
  </si>
  <si>
    <t>24福保障計第1163号</t>
  </si>
  <si>
    <t>30八福障収第724号</t>
    <rPh sb="2" eb="3">
      <t>ハチ</t>
    </rPh>
    <rPh sb="3" eb="4">
      <t>フク</t>
    </rPh>
    <rPh sb="4" eb="5">
      <t>ショウ</t>
    </rPh>
    <rPh sb="5" eb="6">
      <t>シュウ</t>
    </rPh>
    <rPh sb="6" eb="7">
      <t>ダイ</t>
    </rPh>
    <rPh sb="10" eb="11">
      <t>ゴウ</t>
    </rPh>
    <phoneticPr fontId="6"/>
  </si>
  <si>
    <t>2-70</t>
  </si>
  <si>
    <t>ローソンクオール薬局　八王子川口町店</t>
    <rPh sb="8" eb="10">
      <t>ヤッキョク</t>
    </rPh>
    <rPh sb="11" eb="14">
      <t>ハチオウジ</t>
    </rPh>
    <rPh sb="14" eb="16">
      <t>カワグチ</t>
    </rPh>
    <rPh sb="16" eb="17">
      <t>マチ</t>
    </rPh>
    <rPh sb="17" eb="18">
      <t>テン</t>
    </rPh>
    <phoneticPr fontId="5"/>
  </si>
  <si>
    <t>193-0801</t>
  </si>
  <si>
    <t>八王子市川口町１５８５－１</t>
    <rPh sb="0" eb="4">
      <t>ハチオウジシ</t>
    </rPh>
    <rPh sb="4" eb="6">
      <t>カワグチ</t>
    </rPh>
    <rPh sb="6" eb="7">
      <t>チョウ</t>
    </rPh>
    <phoneticPr fontId="5"/>
  </si>
  <si>
    <t>042-659-7489</t>
  </si>
  <si>
    <t>クオール株式会社</t>
    <rPh sb="4" eb="6">
      <t>カブシキ</t>
    </rPh>
    <rPh sb="6" eb="8">
      <t>カイシャ</t>
    </rPh>
    <phoneticPr fontId="5"/>
  </si>
  <si>
    <t>港区虎ノ門４－３－１　城山トラストタワー３７階</t>
    <rPh sb="0" eb="2">
      <t>ミナトク</t>
    </rPh>
    <rPh sb="2" eb="3">
      <t>トラ</t>
    </rPh>
    <rPh sb="4" eb="5">
      <t>モン</t>
    </rPh>
    <rPh sb="11" eb="13">
      <t>シロヤマ</t>
    </rPh>
    <rPh sb="22" eb="23">
      <t>カイ</t>
    </rPh>
    <phoneticPr fontId="5"/>
  </si>
  <si>
    <t>多々井　良成</t>
    <rPh sb="0" eb="2">
      <t>タタ</t>
    </rPh>
    <rPh sb="2" eb="3">
      <t>イ</t>
    </rPh>
    <rPh sb="4" eb="6">
      <t>ヨシナリ</t>
    </rPh>
    <phoneticPr fontId="5"/>
  </si>
  <si>
    <t>変更届（藤井　瑛久、～平成25年８月21日）</t>
    <rPh sb="0" eb="2">
      <t>ヘンコウ</t>
    </rPh>
    <rPh sb="2" eb="3">
      <t>トドケ</t>
    </rPh>
    <rPh sb="11" eb="13">
      <t>ヘイセイ</t>
    </rPh>
    <rPh sb="15" eb="16">
      <t>ネン</t>
    </rPh>
    <rPh sb="17" eb="18">
      <t>ガツ</t>
    </rPh>
    <rPh sb="20" eb="21">
      <t>ニチ</t>
    </rPh>
    <phoneticPr fontId="5"/>
  </si>
  <si>
    <t>25福保障計第249号</t>
  </si>
  <si>
    <t>廃止届（平成26年10月31日廃止、薬局閉局）</t>
    <rPh sb="0" eb="2">
      <t>ハイシ</t>
    </rPh>
    <rPh sb="2" eb="3">
      <t>トド</t>
    </rPh>
    <rPh sb="4" eb="6">
      <t>ヘイセイ</t>
    </rPh>
    <rPh sb="8" eb="9">
      <t>ネン</t>
    </rPh>
    <rPh sb="11" eb="12">
      <t>ガツ</t>
    </rPh>
    <rPh sb="14" eb="15">
      <t>ニチ</t>
    </rPh>
    <rPh sb="15" eb="17">
      <t>ハイシ</t>
    </rPh>
    <rPh sb="18" eb="20">
      <t>ヤッキョク</t>
    </rPh>
    <rPh sb="20" eb="22">
      <t>ヘイキョク</t>
    </rPh>
    <phoneticPr fontId="5"/>
  </si>
  <si>
    <t>2-71</t>
  </si>
  <si>
    <t>アイン薬局　セレオ八王子店</t>
    <rPh sb="3" eb="5">
      <t>ヤッキョク</t>
    </rPh>
    <rPh sb="9" eb="13">
      <t>ハチオウジテン</t>
    </rPh>
    <phoneticPr fontId="5"/>
  </si>
  <si>
    <t>八王子市旭町１－１　セレオ八王子北館９階</t>
    <rPh sb="0" eb="4">
      <t>ハチオウジシ</t>
    </rPh>
    <rPh sb="4" eb="6">
      <t>アサヒマチ</t>
    </rPh>
    <rPh sb="13" eb="16">
      <t>ハチオウジ</t>
    </rPh>
    <rPh sb="16" eb="17">
      <t>キタ</t>
    </rPh>
    <rPh sb="17" eb="18">
      <t>カン</t>
    </rPh>
    <rPh sb="19" eb="20">
      <t>カイ</t>
    </rPh>
    <phoneticPr fontId="5"/>
  </si>
  <si>
    <t>042-634-9701</t>
  </si>
  <si>
    <t>株式会社アインファーマシーズ</t>
    <rPh sb="0" eb="4">
      <t>カブシキガイシャ</t>
    </rPh>
    <phoneticPr fontId="5"/>
  </si>
  <si>
    <t>003-0005</t>
  </si>
  <si>
    <t>北海道札幌市白石区東札幌五条２－４－３０</t>
    <rPh sb="0" eb="14">
      <t>００３－０００５</t>
    </rPh>
    <phoneticPr fontId="5"/>
  </si>
  <si>
    <t>秋間　知子</t>
    <rPh sb="0" eb="2">
      <t>アキマ</t>
    </rPh>
    <rPh sb="3" eb="5">
      <t>トモコ</t>
    </rPh>
    <phoneticPr fontId="5"/>
  </si>
  <si>
    <t>変更届(田中誠～平成28年3月31日)</t>
    <rPh sb="0" eb="3">
      <t>ヘンコウトドケ</t>
    </rPh>
    <rPh sb="4" eb="6">
      <t>タナカ</t>
    </rPh>
    <rPh sb="6" eb="7">
      <t>マコト</t>
    </rPh>
    <rPh sb="8" eb="10">
      <t>ヘイセイ</t>
    </rPh>
    <rPh sb="12" eb="13">
      <t>ネン</t>
    </rPh>
    <rPh sb="14" eb="15">
      <t>ガツ</t>
    </rPh>
    <rPh sb="17" eb="18">
      <t>ニチ</t>
    </rPh>
    <phoneticPr fontId="5"/>
  </si>
  <si>
    <t>変更届（開設者住所（北海道札幌市東区東苗穂５条１－２－１→）、～平成25年11月10日））</t>
    <rPh sb="7" eb="9">
      <t>ジュウショ</t>
    </rPh>
    <rPh sb="39" eb="40">
      <t>ガツ</t>
    </rPh>
    <phoneticPr fontId="5"/>
  </si>
  <si>
    <t>変更届（医療機関コード（2954717→）、～平成27年11月1日））</t>
    <rPh sb="4" eb="6">
      <t>イリョウ</t>
    </rPh>
    <rPh sb="6" eb="8">
      <t>キカン</t>
    </rPh>
    <rPh sb="30" eb="31">
      <t>ガツ</t>
    </rPh>
    <phoneticPr fontId="5"/>
  </si>
  <si>
    <t>廃止届（平成30年1月31日廃止、薬局閉局）</t>
    <rPh sb="0" eb="2">
      <t>ハイシ</t>
    </rPh>
    <rPh sb="2" eb="3">
      <t>トド</t>
    </rPh>
    <rPh sb="4" eb="6">
      <t>ヘイセイ</t>
    </rPh>
    <rPh sb="8" eb="9">
      <t>ネン</t>
    </rPh>
    <rPh sb="10" eb="11">
      <t>ガツ</t>
    </rPh>
    <rPh sb="13" eb="14">
      <t>ニチ</t>
    </rPh>
    <rPh sb="14" eb="16">
      <t>ハイシ</t>
    </rPh>
    <rPh sb="17" eb="19">
      <t>ヤッキョク</t>
    </rPh>
    <rPh sb="19" eb="21">
      <t>ヘイキョク</t>
    </rPh>
    <phoneticPr fontId="5"/>
  </si>
  <si>
    <t>2-72</t>
  </si>
  <si>
    <t>ノムラ薬局　大和田５丁目店</t>
    <rPh sb="3" eb="5">
      <t>ヤッキョク</t>
    </rPh>
    <rPh sb="6" eb="7">
      <t>オオ</t>
    </rPh>
    <rPh sb="7" eb="9">
      <t>ワダ</t>
    </rPh>
    <rPh sb="10" eb="12">
      <t>チョウメ</t>
    </rPh>
    <rPh sb="12" eb="13">
      <t>テン</t>
    </rPh>
    <phoneticPr fontId="5"/>
  </si>
  <si>
    <t>八王子市大和田町５－２６－１５　グランドールＭ＆Ｋ１階</t>
    <rPh sb="0" eb="4">
      <t>ハチオウジシ</t>
    </rPh>
    <rPh sb="4" eb="8">
      <t>オオワダチョウ</t>
    </rPh>
    <rPh sb="26" eb="27">
      <t>カイ</t>
    </rPh>
    <phoneticPr fontId="5"/>
  </si>
  <si>
    <t>042-649-1838</t>
  </si>
  <si>
    <t>株式会社ノムラ薬局</t>
    <rPh sb="0" eb="2">
      <t>カブシキ</t>
    </rPh>
    <rPh sb="2" eb="4">
      <t>カイシャ</t>
    </rPh>
    <rPh sb="7" eb="9">
      <t>ヤッキョク</t>
    </rPh>
    <phoneticPr fontId="5"/>
  </si>
  <si>
    <t>191-0053</t>
  </si>
  <si>
    <t>日野市豊田３－３２－４</t>
    <rPh sb="0" eb="3">
      <t>ヒノシ</t>
    </rPh>
    <rPh sb="3" eb="5">
      <t>トヨタ</t>
    </rPh>
    <phoneticPr fontId="5"/>
  </si>
  <si>
    <t>橋本　喜一</t>
    <rPh sb="0" eb="2">
      <t>ハシモト</t>
    </rPh>
    <rPh sb="3" eb="5">
      <t>キイチ</t>
    </rPh>
    <phoneticPr fontId="5"/>
  </si>
  <si>
    <t>2-73</t>
  </si>
  <si>
    <t>アイン薬局　元八王子店</t>
    <rPh sb="3" eb="5">
      <t>ヤッキョク</t>
    </rPh>
    <rPh sb="6" eb="10">
      <t>モトハチオウジ</t>
    </rPh>
    <rPh sb="10" eb="11">
      <t>テン</t>
    </rPh>
    <phoneticPr fontId="5"/>
  </si>
  <si>
    <t>八王子市大楽寺町４７７－４</t>
    <rPh sb="0" eb="4">
      <t>ハチオウジシ</t>
    </rPh>
    <rPh sb="4" eb="8">
      <t>ダイラクジマチ</t>
    </rPh>
    <phoneticPr fontId="5"/>
  </si>
  <si>
    <t>042-686-0233</t>
  </si>
  <si>
    <t>株式会社アインファーマシーズ</t>
    <rPh sb="0" eb="2">
      <t>カブシキ</t>
    </rPh>
    <rPh sb="2" eb="4">
      <t>カイシャ</t>
    </rPh>
    <phoneticPr fontId="5"/>
  </si>
  <si>
    <t>小俣　華子</t>
    <rPh sb="0" eb="2">
      <t>オマタ</t>
    </rPh>
    <rPh sb="3" eb="5">
      <t>ハナコ</t>
    </rPh>
    <phoneticPr fontId="6"/>
  </si>
  <si>
    <t>変更届(有賀　直樹～令和４年２月１日)</t>
    <rPh sb="0" eb="3">
      <t>ヘンコウトドケ</t>
    </rPh>
    <rPh sb="10" eb="11">
      <t>レイ</t>
    </rPh>
    <rPh sb="11" eb="12">
      <t>ワ</t>
    </rPh>
    <rPh sb="13" eb="14">
      <t>ネン</t>
    </rPh>
    <rPh sb="15" eb="16">
      <t>ガツ</t>
    </rPh>
    <rPh sb="17" eb="18">
      <t>ニチ</t>
    </rPh>
    <phoneticPr fontId="5"/>
  </si>
  <si>
    <t>変更届（開設者住所（北海道札幌市東区東苗穂５条１－２－１→）、～平成25年11月10日）</t>
    <rPh sb="7" eb="9">
      <t>ジュウショ</t>
    </rPh>
    <rPh sb="39" eb="40">
      <t>ガツ</t>
    </rPh>
    <phoneticPr fontId="5"/>
  </si>
  <si>
    <t>変更届（医療機関コード（2954741→）、～平成27年11月1日））</t>
    <rPh sb="4" eb="6">
      <t>イリョウ</t>
    </rPh>
    <rPh sb="6" eb="8">
      <t>キカン</t>
    </rPh>
    <rPh sb="30" eb="31">
      <t>ガツ</t>
    </rPh>
    <phoneticPr fontId="5"/>
  </si>
  <si>
    <t>変更届(開設者代表変更（大石　美也→酒井　雅人))～令和5年4月30日</t>
    <rPh sb="0" eb="2">
      <t>ヘンコウ</t>
    </rPh>
    <rPh sb="2" eb="3">
      <t>トドケ</t>
    </rPh>
    <rPh sb="4" eb="6">
      <t>カイセツ</t>
    </rPh>
    <rPh sb="6" eb="7">
      <t>シャ</t>
    </rPh>
    <rPh sb="7" eb="9">
      <t>ダイヒョウ</t>
    </rPh>
    <rPh sb="9" eb="11">
      <t>ヘンコウ</t>
    </rPh>
    <rPh sb="12" eb="14">
      <t>オオイシ</t>
    </rPh>
    <rPh sb="15" eb="17">
      <t>ミヤ</t>
    </rPh>
    <rPh sb="18" eb="20">
      <t>サカイ</t>
    </rPh>
    <rPh sb="21" eb="23">
      <t>マサト</t>
    </rPh>
    <rPh sb="26" eb="28">
      <t>レイワ</t>
    </rPh>
    <rPh sb="29" eb="30">
      <t>ネン</t>
    </rPh>
    <rPh sb="31" eb="32">
      <t>ガツ</t>
    </rPh>
    <rPh sb="34" eb="35">
      <t>ニチ</t>
    </rPh>
    <phoneticPr fontId="6"/>
  </si>
  <si>
    <t>変更届(開設者（代表取締役）変更（酒井　雅人→淡路　英広)、変更日：令和5年10月4日</t>
    <rPh sb="0" eb="2">
      <t>ヘンコウ</t>
    </rPh>
    <rPh sb="2" eb="3">
      <t>トドケ</t>
    </rPh>
    <rPh sb="4" eb="6">
      <t>カイセツ</t>
    </rPh>
    <rPh sb="6" eb="7">
      <t>シャ</t>
    </rPh>
    <rPh sb="8" eb="10">
      <t>ダイヒョウ</t>
    </rPh>
    <rPh sb="10" eb="13">
      <t>トリシマリヤク</t>
    </rPh>
    <rPh sb="14" eb="16">
      <t>ヘンコウ</t>
    </rPh>
    <rPh sb="23" eb="25">
      <t>アワジ</t>
    </rPh>
    <rPh sb="26" eb="28">
      <t>ヒデヒロ</t>
    </rPh>
    <rPh sb="30" eb="32">
      <t>ヘンコウ</t>
    </rPh>
    <rPh sb="32" eb="33">
      <t>ビ</t>
    </rPh>
    <rPh sb="34" eb="36">
      <t>レイワ</t>
    </rPh>
    <rPh sb="37" eb="38">
      <t>ネン</t>
    </rPh>
    <rPh sb="40" eb="41">
      <t>ガツ</t>
    </rPh>
    <rPh sb="42" eb="43">
      <t>ニチ</t>
    </rPh>
    <phoneticPr fontId="6"/>
  </si>
  <si>
    <t>2-74</t>
  </si>
  <si>
    <t>上川薬局</t>
  </si>
  <si>
    <t>192-0151</t>
  </si>
  <si>
    <t>八王子市上川町２２６１－１１</t>
  </si>
  <si>
    <t>042-654-6279</t>
  </si>
  <si>
    <t>株式会社エムワイファルマ</t>
  </si>
  <si>
    <t>193-0826</t>
  </si>
  <si>
    <t>東京都八王子市元八王子町１－５２８－１０</t>
  </si>
  <si>
    <t>島﨑　優子</t>
  </si>
  <si>
    <t>変更届(奥住　由美子、～平成25年10月31日）</t>
  </si>
  <si>
    <t>6八福障第5449号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</si>
  <si>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変更届（開設者氏名（奥住　誠一(ｺｰﾄﾞ2951309)→、～平成25年10月31日）</t>
    <rPh sb="0" eb="2">
      <t>ヘンコウ</t>
    </rPh>
    <rPh sb="2" eb="3">
      <t>トドケ</t>
    </rPh>
    <rPh sb="4" eb="6">
      <t>カイセツ</t>
    </rPh>
    <rPh sb="6" eb="7">
      <t>シャ</t>
    </rPh>
    <rPh sb="7" eb="9">
      <t>シメイ</t>
    </rPh>
    <rPh sb="10" eb="12">
      <t>オクズミ</t>
    </rPh>
    <rPh sb="13" eb="15">
      <t>セイイチ</t>
    </rPh>
    <rPh sb="31" eb="33">
      <t>ヘイセイ</t>
    </rPh>
    <rPh sb="35" eb="36">
      <t>ネン</t>
    </rPh>
    <rPh sb="38" eb="39">
      <t>ガツ</t>
    </rPh>
    <rPh sb="41" eb="42">
      <t>ニチ</t>
    </rPh>
    <phoneticPr fontId="5"/>
  </si>
  <si>
    <t>2-75</t>
  </si>
  <si>
    <t>やまだ駅前薬局</t>
    <rPh sb="3" eb="5">
      <t>エキマエ</t>
    </rPh>
    <rPh sb="5" eb="7">
      <t>ヤッキョク</t>
    </rPh>
    <phoneticPr fontId="5"/>
  </si>
  <si>
    <t>193-0934</t>
  </si>
  <si>
    <t>八王子市小比企町４８０－１　サニーヒルいそま１０１－２号</t>
  </si>
  <si>
    <t>042-638-8190</t>
  </si>
  <si>
    <t>徳永薬局株式会社</t>
    <rPh sb="0" eb="2">
      <t>トクナガ</t>
    </rPh>
    <rPh sb="2" eb="4">
      <t>ヤッキョク</t>
    </rPh>
    <rPh sb="4" eb="6">
      <t>カブシキ</t>
    </rPh>
    <rPh sb="6" eb="8">
      <t>カイシャ</t>
    </rPh>
    <phoneticPr fontId="5"/>
  </si>
  <si>
    <t>206-0812</t>
    <phoneticPr fontId="6"/>
  </si>
  <si>
    <t>東京都稲城市矢野口305-1
長坂ビル3階</t>
    <rPh sb="0" eb="3">
      <t>トウキョウト</t>
    </rPh>
    <rPh sb="3" eb="6">
      <t>イナギシ</t>
    </rPh>
    <rPh sb="6" eb="9">
      <t>ヤノクチ</t>
    </rPh>
    <rPh sb="15" eb="17">
      <t>ナガサカ</t>
    </rPh>
    <rPh sb="20" eb="21">
      <t>カイ</t>
    </rPh>
    <phoneticPr fontId="5"/>
  </si>
  <si>
    <t>内多　知子</t>
    <rPh sb="0" eb="2">
      <t>ウチダ</t>
    </rPh>
    <rPh sb="3" eb="5">
      <t>トモコ</t>
    </rPh>
    <phoneticPr fontId="6"/>
  </si>
  <si>
    <t>変更届(堀　尚輝、～令和7年11月30日）</t>
    <rPh sb="10" eb="12">
      <t>レイワ</t>
    </rPh>
    <phoneticPr fontId="6"/>
  </si>
  <si>
    <t>26福保障計
第651号</t>
    <rPh sb="2" eb="3">
      <t>フク</t>
    </rPh>
    <rPh sb="3" eb="5">
      <t>ホショウ</t>
    </rPh>
    <rPh sb="5" eb="6">
      <t>ケイ</t>
    </rPh>
    <rPh sb="7" eb="8">
      <t>ダイ</t>
    </rPh>
    <rPh sb="11" eb="12">
      <t>ゴウ</t>
    </rPh>
    <phoneticPr fontId="5"/>
  </si>
  <si>
    <t>2八福障収第234号</t>
    <rPh sb="1" eb="2">
      <t>ハチ</t>
    </rPh>
    <rPh sb="2" eb="3">
      <t>フク</t>
    </rPh>
    <rPh sb="3" eb="4">
      <t>ショウ</t>
    </rPh>
    <rPh sb="4" eb="5">
      <t>シュウ</t>
    </rPh>
    <rPh sb="5" eb="6">
      <t>ダイ</t>
    </rPh>
    <rPh sb="9" eb="10">
      <t>ゴウ</t>
    </rPh>
    <phoneticPr fontId="6"/>
  </si>
  <si>
    <t>変更届（開設者名・住所（株式会社コミュニティメディカル　東京都府中市住吉町１－８４－１ステーザ府中中河原1階(ｺｰﾄﾞ2954857)→、～平成31年3月31日）</t>
    <rPh sb="0" eb="2">
      <t>ヘンコウ</t>
    </rPh>
    <rPh sb="2" eb="3">
      <t>トドケ</t>
    </rPh>
    <rPh sb="4" eb="6">
      <t>カイセツ</t>
    </rPh>
    <rPh sb="6" eb="7">
      <t>シャ</t>
    </rPh>
    <rPh sb="7" eb="8">
      <t>メイ</t>
    </rPh>
    <rPh sb="9" eb="11">
      <t>ジュウショ</t>
    </rPh>
    <rPh sb="12" eb="14">
      <t>カブシキ</t>
    </rPh>
    <rPh sb="14" eb="16">
      <t>カイシャ</t>
    </rPh>
    <rPh sb="28" eb="31">
      <t>トウキョウト</t>
    </rPh>
    <rPh sb="31" eb="34">
      <t>フチュウシ</t>
    </rPh>
    <rPh sb="34" eb="37">
      <t>スミヨシチョウ</t>
    </rPh>
    <rPh sb="47" eb="49">
      <t>フチュウ</t>
    </rPh>
    <rPh sb="49" eb="52">
      <t>ナカガワラ</t>
    </rPh>
    <rPh sb="53" eb="54">
      <t>カイ</t>
    </rPh>
    <rPh sb="70" eb="72">
      <t>ヘイセイ</t>
    </rPh>
    <rPh sb="74" eb="75">
      <t>ネン</t>
    </rPh>
    <rPh sb="76" eb="77">
      <t>ガツ</t>
    </rPh>
    <rPh sb="79" eb="80">
      <t>ニチ</t>
    </rPh>
    <phoneticPr fontId="5"/>
  </si>
  <si>
    <t>2-76</t>
  </si>
  <si>
    <t>東京薬科大学附属薬局</t>
    <rPh sb="0" eb="2">
      <t>トウキョウ</t>
    </rPh>
    <rPh sb="2" eb="4">
      <t>ヤッカ</t>
    </rPh>
    <rPh sb="4" eb="6">
      <t>ダイガク</t>
    </rPh>
    <rPh sb="6" eb="8">
      <t>フゾク</t>
    </rPh>
    <rPh sb="8" eb="10">
      <t>ヤッキョク</t>
    </rPh>
    <phoneticPr fontId="5"/>
  </si>
  <si>
    <t>192-0034</t>
  </si>
  <si>
    <t>八王子市大谷町１７８－１１</t>
    <phoneticPr fontId="6"/>
  </si>
  <si>
    <t>042-645-4193</t>
  </si>
  <si>
    <t>学校法人東京薬科大学</t>
    <rPh sb="0" eb="2">
      <t>ガッコウ</t>
    </rPh>
    <rPh sb="2" eb="4">
      <t>ホウジン</t>
    </rPh>
    <rPh sb="4" eb="6">
      <t>トウキョウ</t>
    </rPh>
    <rPh sb="6" eb="8">
      <t>ヤッカ</t>
    </rPh>
    <rPh sb="8" eb="10">
      <t>ダイガク</t>
    </rPh>
    <phoneticPr fontId="5"/>
  </si>
  <si>
    <t>192-0392</t>
    <phoneticPr fontId="6"/>
  </si>
  <si>
    <t>東京都八王子市堀之内１４３２－１</t>
  </si>
  <si>
    <t>藤田　茂起</t>
    <rPh sb="0" eb="2">
      <t>フジタ</t>
    </rPh>
    <rPh sb="3" eb="4">
      <t>シゲ</t>
    </rPh>
    <rPh sb="4" eb="5">
      <t>キ</t>
    </rPh>
    <phoneticPr fontId="6"/>
  </si>
  <si>
    <t>変更届(藤﨑　玲子、～令和7年4月20日）</t>
    <rPh sb="11" eb="13">
      <t>レイワ</t>
    </rPh>
    <phoneticPr fontId="6"/>
  </si>
  <si>
    <t>31八福障収第1797号</t>
    <rPh sb="2" eb="3">
      <t>ハチ</t>
    </rPh>
    <rPh sb="3" eb="4">
      <t>フク</t>
    </rPh>
    <rPh sb="4" eb="5">
      <t>ショウ</t>
    </rPh>
    <rPh sb="5" eb="6">
      <t>シュウ</t>
    </rPh>
    <rPh sb="6" eb="7">
      <t>ダイ</t>
    </rPh>
    <rPh sb="11" eb="12">
      <t>ゴウ</t>
    </rPh>
    <phoneticPr fontId="6"/>
  </si>
  <si>
    <t>変更届（開設者住所（東京都八王子市堀之内１４３２－１→、～令和1年8月30日）</t>
    <rPh sb="0" eb="2">
      <t>ヘンコウ</t>
    </rPh>
    <rPh sb="2" eb="3">
      <t>トドケ</t>
    </rPh>
    <rPh sb="4" eb="6">
      <t>カイセツ</t>
    </rPh>
    <rPh sb="6" eb="7">
      <t>シャ</t>
    </rPh>
    <rPh sb="7" eb="9">
      <t>ジュウショ</t>
    </rPh>
    <rPh sb="29" eb="31">
      <t>レイワ</t>
    </rPh>
    <rPh sb="32" eb="33">
      <t>ネン</t>
    </rPh>
    <rPh sb="34" eb="35">
      <t>ガツ</t>
    </rPh>
    <rPh sb="37" eb="38">
      <t>ニチ</t>
    </rPh>
    <phoneticPr fontId="5"/>
  </si>
  <si>
    <t>変更届（コード（2954873→）開設者（一般財団法人東京薬科大学附属社会医療研究所　八王子市大谷町１７８－１１→、～令和2年6月30日）</t>
    <rPh sb="21" eb="23">
      <t>イッパン</t>
    </rPh>
    <rPh sb="23" eb="25">
      <t>ザイダン</t>
    </rPh>
    <rPh sb="25" eb="27">
      <t>ホウジン</t>
    </rPh>
    <rPh sb="27" eb="29">
      <t>トウキョウ</t>
    </rPh>
    <rPh sb="29" eb="31">
      <t>ヤッカ</t>
    </rPh>
    <rPh sb="31" eb="33">
      <t>ダイガク</t>
    </rPh>
    <rPh sb="33" eb="35">
      <t>フゾク</t>
    </rPh>
    <rPh sb="35" eb="37">
      <t>シャカイ</t>
    </rPh>
    <rPh sb="37" eb="39">
      <t>イリョウ</t>
    </rPh>
    <rPh sb="39" eb="41">
      <t>ケンキュウ</t>
    </rPh>
    <rPh sb="41" eb="42">
      <t>ジョ</t>
    </rPh>
    <phoneticPr fontId="6"/>
  </si>
  <si>
    <t>2-77</t>
  </si>
  <si>
    <t>アイン薬局　八王子店</t>
    <rPh sb="3" eb="5">
      <t>ヤッキョク</t>
    </rPh>
    <rPh sb="6" eb="10">
      <t>ハチオウジテン</t>
    </rPh>
    <phoneticPr fontId="5"/>
  </si>
  <si>
    <t>八王子市大谷町３０２</t>
  </si>
  <si>
    <t>042-649-1167</t>
  </si>
  <si>
    <t>千葉　朋寛</t>
    <rPh sb="0" eb="2">
      <t>チバ</t>
    </rPh>
    <rPh sb="3" eb="4">
      <t>トモ</t>
    </rPh>
    <rPh sb="4" eb="5">
      <t>ヒロシ</t>
    </rPh>
    <phoneticPr fontId="5"/>
  </si>
  <si>
    <t>変更届（嶋田　佳宏、～令和2年6月1日）</t>
    <rPh sb="0" eb="2">
      <t>ヘンコウ</t>
    </rPh>
    <rPh sb="2" eb="3">
      <t>トド</t>
    </rPh>
    <rPh sb="11" eb="13">
      <t>レイワ</t>
    </rPh>
    <rPh sb="14" eb="15">
      <t>ネン</t>
    </rPh>
    <rPh sb="16" eb="17">
      <t>ツキ</t>
    </rPh>
    <rPh sb="18" eb="19">
      <t>ヒ</t>
    </rPh>
    <phoneticPr fontId="5"/>
  </si>
  <si>
    <t>2八福障収第252号</t>
    <rPh sb="1" eb="2">
      <t>ハチ</t>
    </rPh>
    <rPh sb="2" eb="3">
      <t>フク</t>
    </rPh>
    <rPh sb="3" eb="4">
      <t>ショウ</t>
    </rPh>
    <rPh sb="4" eb="5">
      <t>シュウ</t>
    </rPh>
    <rPh sb="5" eb="6">
      <t>ダイ</t>
    </rPh>
    <rPh sb="9" eb="10">
      <t>ゴウ</t>
    </rPh>
    <phoneticPr fontId="6"/>
  </si>
  <si>
    <t>変更届（医療機関コード（2945899→）、～平成27年11月1日））</t>
    <rPh sb="4" eb="6">
      <t>イリョウ</t>
    </rPh>
    <rPh sb="6" eb="8">
      <t>キカン</t>
    </rPh>
    <rPh sb="30" eb="31">
      <t>ガツ</t>
    </rPh>
    <phoneticPr fontId="5"/>
  </si>
  <si>
    <t>2-78</t>
  </si>
  <si>
    <t>スギ薬局　八日町店</t>
    <rPh sb="2" eb="4">
      <t>ヤッキョク</t>
    </rPh>
    <rPh sb="5" eb="7">
      <t>ハチニチ</t>
    </rPh>
    <rPh sb="7" eb="8">
      <t>マチ</t>
    </rPh>
    <rPh sb="8" eb="9">
      <t>テン</t>
    </rPh>
    <phoneticPr fontId="5"/>
  </si>
  <si>
    <t>192-0071</t>
  </si>
  <si>
    <t>八王子市八日町８－１　ビュータワー八王子１階</t>
  </si>
  <si>
    <t>042-686-3981</t>
  </si>
  <si>
    <t>株式会社スギ薬局</t>
    <rPh sb="0" eb="2">
      <t>カブシキ</t>
    </rPh>
    <rPh sb="2" eb="4">
      <t>カイシャ</t>
    </rPh>
    <rPh sb="6" eb="8">
      <t>ヤッキョク</t>
    </rPh>
    <phoneticPr fontId="5"/>
  </si>
  <si>
    <t>446-0056</t>
  </si>
  <si>
    <t>愛知県安城市三河安城町１－８－４</t>
    <rPh sb="0" eb="3">
      <t>アイチケン</t>
    </rPh>
    <rPh sb="3" eb="6">
      <t>アンジョウシ</t>
    </rPh>
    <rPh sb="6" eb="8">
      <t>ミカワ</t>
    </rPh>
    <rPh sb="8" eb="10">
      <t>アンジョウ</t>
    </rPh>
    <rPh sb="10" eb="11">
      <t>マチ</t>
    </rPh>
    <phoneticPr fontId="5"/>
  </si>
  <si>
    <t>栗原　由希</t>
    <rPh sb="0" eb="2">
      <t>クリハラ</t>
    </rPh>
    <rPh sb="3" eb="5">
      <t>ユキ</t>
    </rPh>
    <phoneticPr fontId="6"/>
  </si>
  <si>
    <t>変更届（河合　洋介、～平成29年11月30日）</t>
    <rPh sb="0" eb="2">
      <t>ヘンコウ</t>
    </rPh>
    <rPh sb="2" eb="3">
      <t>トド</t>
    </rPh>
    <rPh sb="11" eb="13">
      <t>ヘイセイ</t>
    </rPh>
    <rPh sb="15" eb="16">
      <t>トシ</t>
    </rPh>
    <rPh sb="18" eb="19">
      <t>ツキ</t>
    </rPh>
    <rPh sb="21" eb="22">
      <t>ヒ</t>
    </rPh>
    <phoneticPr fontId="5"/>
  </si>
  <si>
    <t>2八福障収第271号</t>
    <rPh sb="1" eb="2">
      <t>ハチ</t>
    </rPh>
    <rPh sb="2" eb="3">
      <t>フク</t>
    </rPh>
    <rPh sb="3" eb="4">
      <t>ショウ</t>
    </rPh>
    <rPh sb="4" eb="5">
      <t>シュウ</t>
    </rPh>
    <rPh sb="5" eb="6">
      <t>ダイ</t>
    </rPh>
    <rPh sb="9" eb="10">
      <t>ゴウ</t>
    </rPh>
    <phoneticPr fontId="6"/>
  </si>
  <si>
    <t>変更届(代表取締役変更：榊原　栄一→杉浦　伸哉、変更日：令和7年5月26日）</t>
    <rPh sb="0" eb="2">
      <t>ヘンコウ</t>
    </rPh>
    <rPh sb="2" eb="3">
      <t>トドケ</t>
    </rPh>
    <rPh sb="4" eb="6">
      <t>ダイヒョウ</t>
    </rPh>
    <rPh sb="6" eb="8">
      <t>トリシマリ</t>
    </rPh>
    <rPh sb="9" eb="11">
      <t>ヘンコウ</t>
    </rPh>
    <rPh sb="12" eb="14">
      <t>サカキバラ</t>
    </rPh>
    <rPh sb="15" eb="17">
      <t>エイイチ</t>
    </rPh>
    <rPh sb="17" eb="18">
      <t>タキ</t>
    </rPh>
    <rPh sb="18" eb="20">
      <t>スギウラ</t>
    </rPh>
    <rPh sb="21" eb="23">
      <t>シンヤ</t>
    </rPh>
    <rPh sb="23" eb="25">
      <t>ヘンコウ</t>
    </rPh>
    <rPh sb="25" eb="26">
      <t>ビ</t>
    </rPh>
    <rPh sb="27" eb="29">
      <t>レイワ</t>
    </rPh>
    <phoneticPr fontId="6"/>
  </si>
  <si>
    <t>2-79</t>
  </si>
  <si>
    <t>さつき薬局　椚田店</t>
    <rPh sb="3" eb="5">
      <t>ヤッキョク</t>
    </rPh>
    <rPh sb="6" eb="8">
      <t>クヌギダ</t>
    </rPh>
    <rPh sb="8" eb="9">
      <t>テン</t>
    </rPh>
    <phoneticPr fontId="5"/>
  </si>
  <si>
    <t>八王子市椚田町５５２－９</t>
    <rPh sb="0" eb="4">
      <t>ハチオウジシ</t>
    </rPh>
    <rPh sb="4" eb="7">
      <t>クヌギダマチ</t>
    </rPh>
    <phoneticPr fontId="5"/>
  </si>
  <si>
    <t>042-673-4353</t>
  </si>
  <si>
    <t>有限会社さつきメディカル</t>
    <rPh sb="0" eb="2">
      <t>ユウゲン</t>
    </rPh>
    <rPh sb="2" eb="4">
      <t>カイシャ</t>
    </rPh>
    <phoneticPr fontId="5"/>
  </si>
  <si>
    <t>八木　博文</t>
    <rPh sb="0" eb="2">
      <t>ヤギ</t>
    </rPh>
    <rPh sb="3" eb="5">
      <t>ヒロブミ</t>
    </rPh>
    <phoneticPr fontId="5"/>
  </si>
  <si>
    <t>変更届（青木　一平、～令和5年9月30日）</t>
    <rPh sb="0" eb="2">
      <t>ヘンコウ</t>
    </rPh>
    <rPh sb="2" eb="3">
      <t>トド</t>
    </rPh>
    <rPh sb="4" eb="6">
      <t>アオキ</t>
    </rPh>
    <rPh sb="7" eb="9">
      <t>イッペイ</t>
    </rPh>
    <rPh sb="11" eb="13">
      <t>レイワ</t>
    </rPh>
    <rPh sb="14" eb="15">
      <t>トシ</t>
    </rPh>
    <rPh sb="16" eb="17">
      <t>ツキ</t>
    </rPh>
    <rPh sb="19" eb="20">
      <t>ヒ</t>
    </rPh>
    <phoneticPr fontId="5"/>
  </si>
  <si>
    <t>21福保障計第134号</t>
    <rPh sb="2" eb="3">
      <t>フク</t>
    </rPh>
    <rPh sb="3" eb="6">
      <t>ホショウケイ</t>
    </rPh>
    <rPh sb="6" eb="7">
      <t>ダイ</t>
    </rPh>
    <rPh sb="10" eb="11">
      <t>ゴウ</t>
    </rPh>
    <phoneticPr fontId="5"/>
  </si>
  <si>
    <t>3八福障収第1571号</t>
    <rPh sb="1" eb="2">
      <t>ハチ</t>
    </rPh>
    <rPh sb="2" eb="3">
      <t>フク</t>
    </rPh>
    <rPh sb="3" eb="4">
      <t>ショウ</t>
    </rPh>
    <rPh sb="4" eb="5">
      <t>シュウ</t>
    </rPh>
    <rPh sb="5" eb="6">
      <t>ダイ</t>
    </rPh>
    <rPh sb="10" eb="11">
      <t>ゴウ</t>
    </rPh>
    <phoneticPr fontId="5"/>
  </si>
  <si>
    <t>変更届（薬局名称（さつき薬局　めじろ台支店→）、薬局所在地（八王子市めじろ台３－３７－１８(ｺｰﾄﾞ2954097)→）、～平成26年11月30日）</t>
    <rPh sb="0" eb="2">
      <t>ヘンコウ</t>
    </rPh>
    <rPh sb="2" eb="3">
      <t>トドケ</t>
    </rPh>
    <rPh sb="4" eb="6">
      <t>ヤッキョク</t>
    </rPh>
    <rPh sb="6" eb="8">
      <t>メイショウ</t>
    </rPh>
    <rPh sb="18" eb="19">
      <t>ダイ</t>
    </rPh>
    <rPh sb="19" eb="21">
      <t>シテン</t>
    </rPh>
    <rPh sb="24" eb="26">
      <t>ヤッキョク</t>
    </rPh>
    <rPh sb="26" eb="29">
      <t>ショザイチ</t>
    </rPh>
    <rPh sb="62" eb="64">
      <t>ヘイセイ</t>
    </rPh>
    <rPh sb="66" eb="67">
      <t>ネン</t>
    </rPh>
    <rPh sb="69" eb="70">
      <t>ガツ</t>
    </rPh>
    <rPh sb="72" eb="73">
      <t>ニチ</t>
    </rPh>
    <phoneticPr fontId="5"/>
  </si>
  <si>
    <t>2-80</t>
    <phoneticPr fontId="6"/>
  </si>
  <si>
    <t>さつき薬局　楢原店</t>
    <rPh sb="3" eb="5">
      <t>ヤッキョク</t>
    </rPh>
    <rPh sb="6" eb="8">
      <t>ナラハラ</t>
    </rPh>
    <rPh sb="8" eb="9">
      <t>テン</t>
    </rPh>
    <phoneticPr fontId="5"/>
  </si>
  <si>
    <t>193-0803</t>
    <phoneticPr fontId="6"/>
  </si>
  <si>
    <t>八王子市楢原町１４８２－２</t>
    <rPh sb="0" eb="4">
      <t>ハチオウジシ</t>
    </rPh>
    <rPh sb="4" eb="7">
      <t>ナラハラマチ</t>
    </rPh>
    <phoneticPr fontId="6"/>
  </si>
  <si>
    <t>042-623-8545</t>
    <phoneticPr fontId="6"/>
  </si>
  <si>
    <t>192-0913</t>
    <phoneticPr fontId="6"/>
  </si>
  <si>
    <t>河住　宏平</t>
    <rPh sb="0" eb="2">
      <t>カワスミ</t>
    </rPh>
    <rPh sb="3" eb="5">
      <t>コウヘイ</t>
    </rPh>
    <phoneticPr fontId="6"/>
  </si>
  <si>
    <t>変更届（吉賀　智紀、～令和３年４月16日）</t>
    <rPh sb="0" eb="2">
      <t>ヘンコウ</t>
    </rPh>
    <rPh sb="2" eb="3">
      <t>トド</t>
    </rPh>
    <rPh sb="11" eb="13">
      <t>レイワ</t>
    </rPh>
    <rPh sb="14" eb="15">
      <t>トシ</t>
    </rPh>
    <rPh sb="16" eb="17">
      <t>ツキ</t>
    </rPh>
    <rPh sb="19" eb="20">
      <t>ヒ</t>
    </rPh>
    <phoneticPr fontId="5"/>
  </si>
  <si>
    <t>28八福障収第140号</t>
    <rPh sb="2" eb="3">
      <t>ハチ</t>
    </rPh>
    <rPh sb="3" eb="4">
      <t>フク</t>
    </rPh>
    <rPh sb="4" eb="5">
      <t>サワ</t>
    </rPh>
    <rPh sb="5" eb="6">
      <t>シュウ</t>
    </rPh>
    <rPh sb="6" eb="7">
      <t>ダイ</t>
    </rPh>
    <rPh sb="10" eb="11">
      <t>ゴウ</t>
    </rPh>
    <phoneticPr fontId="6"/>
  </si>
  <si>
    <t>4八福障収第308号</t>
    <rPh sb="1" eb="2">
      <t>ハチ</t>
    </rPh>
    <rPh sb="2" eb="3">
      <t>フク</t>
    </rPh>
    <rPh sb="3" eb="4">
      <t>ショウ</t>
    </rPh>
    <rPh sb="4" eb="5">
      <t>シュウ</t>
    </rPh>
    <rPh sb="5" eb="6">
      <t>ダイ</t>
    </rPh>
    <rPh sb="9" eb="10">
      <t>ゴウ</t>
    </rPh>
    <phoneticPr fontId="5"/>
  </si>
  <si>
    <t>2-81</t>
  </si>
  <si>
    <t>アロエ調剤薬局</t>
    <rPh sb="3" eb="5">
      <t>チョウザイ</t>
    </rPh>
    <rPh sb="5" eb="7">
      <t>ヤッキョク</t>
    </rPh>
    <phoneticPr fontId="5"/>
  </si>
  <si>
    <t>八王子市初沢町１２３１－６　ウィングタカオ１F</t>
    <rPh sb="0" eb="4">
      <t>ハチオウジシ</t>
    </rPh>
    <rPh sb="4" eb="7">
      <t>ハツザワマチ</t>
    </rPh>
    <phoneticPr fontId="6"/>
  </si>
  <si>
    <t>042-665-3711</t>
    <phoneticPr fontId="6"/>
  </si>
  <si>
    <t>株式会社アロエ</t>
    <rPh sb="0" eb="2">
      <t>カブシキ</t>
    </rPh>
    <rPh sb="2" eb="4">
      <t>カイシャ</t>
    </rPh>
    <phoneticPr fontId="5"/>
  </si>
  <si>
    <t>192-0372</t>
    <phoneticPr fontId="6"/>
  </si>
  <si>
    <t>東京都八王子市下柚木３－６－７０２</t>
    <rPh sb="0" eb="3">
      <t>トウキョウト</t>
    </rPh>
    <rPh sb="3" eb="7">
      <t>ハチオウジシ</t>
    </rPh>
    <rPh sb="7" eb="10">
      <t>シモユギ</t>
    </rPh>
    <phoneticPr fontId="5"/>
  </si>
  <si>
    <t>毛利恵美子</t>
    <rPh sb="0" eb="2">
      <t>モウリ</t>
    </rPh>
    <rPh sb="2" eb="5">
      <t>エミコ</t>
    </rPh>
    <phoneticPr fontId="6"/>
  </si>
  <si>
    <t>変更届（小林　佑也　～平成30年10月31日）</t>
    <rPh sb="0" eb="4">
      <t>ヘンコウトドケ｢</t>
    </rPh>
    <rPh sb="4" eb="6">
      <t>コバヤシ</t>
    </rPh>
    <rPh sb="7" eb="9">
      <t>ユウヤ</t>
    </rPh>
    <rPh sb="11" eb="13">
      <t>ヘイセイ</t>
    </rPh>
    <rPh sb="15" eb="16">
      <t>ネン</t>
    </rPh>
    <rPh sb="18" eb="19">
      <t>ガツ</t>
    </rPh>
    <rPh sb="21" eb="22">
      <t>ニチ</t>
    </rPh>
    <phoneticPr fontId="6"/>
  </si>
  <si>
    <t>28八福障収第402号</t>
    <rPh sb="2" eb="3">
      <t>ハチ</t>
    </rPh>
    <rPh sb="3" eb="4">
      <t>フク</t>
    </rPh>
    <rPh sb="4" eb="5">
      <t>サワ</t>
    </rPh>
    <rPh sb="5" eb="6">
      <t>シュウ</t>
    </rPh>
    <rPh sb="6" eb="7">
      <t>ダイ</t>
    </rPh>
    <rPh sb="10" eb="11">
      <t>ゴウ</t>
    </rPh>
    <phoneticPr fontId="6"/>
  </si>
  <si>
    <t>4八福障収第787号</t>
    <rPh sb="1" eb="2">
      <t>ハチ</t>
    </rPh>
    <rPh sb="2" eb="3">
      <t>フク</t>
    </rPh>
    <rPh sb="3" eb="4">
      <t>ショウ</t>
    </rPh>
    <rPh sb="4" eb="5">
      <t>シュウ</t>
    </rPh>
    <rPh sb="5" eb="6">
      <t>ダイ</t>
    </rPh>
    <rPh sb="9" eb="10">
      <t>ゴウ</t>
    </rPh>
    <phoneticPr fontId="5"/>
  </si>
  <si>
    <t>変更届（開設者住所（八王子市初沢町1231-6　ウイングタカオ1F→）～平成30年10月30日</t>
    <rPh sb="0" eb="3">
      <t>ヘンコウトドケ</t>
    </rPh>
    <rPh sb="4" eb="6">
      <t>カイセツ</t>
    </rPh>
    <rPh sb="6" eb="7">
      <t>シャ</t>
    </rPh>
    <rPh sb="7" eb="9">
      <t>ジュウショ</t>
    </rPh>
    <rPh sb="10" eb="14">
      <t>ハチオウジシ</t>
    </rPh>
    <rPh sb="14" eb="17">
      <t>ハツザワマチ</t>
    </rPh>
    <rPh sb="36" eb="38">
      <t>ヘイセイ</t>
    </rPh>
    <rPh sb="40" eb="41">
      <t>ネン</t>
    </rPh>
    <rPh sb="43" eb="44">
      <t>ガツ</t>
    </rPh>
    <rPh sb="46" eb="47">
      <t>ニチ</t>
    </rPh>
    <phoneticPr fontId="6"/>
  </si>
  <si>
    <t>2-82</t>
  </si>
  <si>
    <t>クリエイト薬局　八王子台町店</t>
    <rPh sb="5" eb="7">
      <t>ヤッキョク</t>
    </rPh>
    <rPh sb="8" eb="11">
      <t>ハチオウジ</t>
    </rPh>
    <rPh sb="11" eb="13">
      <t>ダイマチ</t>
    </rPh>
    <rPh sb="13" eb="14">
      <t>テン</t>
    </rPh>
    <phoneticPr fontId="5"/>
  </si>
  <si>
    <t>193-0931</t>
    <phoneticPr fontId="6"/>
  </si>
  <si>
    <t>八王子市台町２－２２－８</t>
    <rPh sb="0" eb="4">
      <t>ハチオウジシ</t>
    </rPh>
    <rPh sb="4" eb="6">
      <t>ダイマチ</t>
    </rPh>
    <phoneticPr fontId="6"/>
  </si>
  <si>
    <t>042-620-5771</t>
    <phoneticPr fontId="6"/>
  </si>
  <si>
    <t>株式会社クリエイトエス・ディー</t>
    <rPh sb="0" eb="2">
      <t>カブシキ</t>
    </rPh>
    <rPh sb="2" eb="4">
      <t>カイシャ</t>
    </rPh>
    <phoneticPr fontId="5"/>
  </si>
  <si>
    <t>225-0014</t>
    <phoneticPr fontId="6"/>
  </si>
  <si>
    <t>竹中　亮介</t>
    <rPh sb="0" eb="2">
      <t>タケナカ</t>
    </rPh>
    <rPh sb="3" eb="5">
      <t>リョウスケ</t>
    </rPh>
    <phoneticPr fontId="6"/>
  </si>
  <si>
    <t>28八福障収第957号</t>
    <rPh sb="2" eb="3">
      <t>ハチ</t>
    </rPh>
    <rPh sb="3" eb="4">
      <t>フク</t>
    </rPh>
    <rPh sb="4" eb="5">
      <t>サワ</t>
    </rPh>
    <rPh sb="5" eb="6">
      <t>シュウ</t>
    </rPh>
    <rPh sb="6" eb="7">
      <t>ダイ</t>
    </rPh>
    <rPh sb="10" eb="11">
      <t>ゴウ</t>
    </rPh>
    <phoneticPr fontId="6"/>
  </si>
  <si>
    <t>4八福障収第1382号</t>
    <phoneticPr fontId="6"/>
  </si>
  <si>
    <t>2-83</t>
  </si>
  <si>
    <t>ウエルシア薬局　八王子みなみ野店</t>
    <rPh sb="5" eb="7">
      <t>ヤッキョク</t>
    </rPh>
    <rPh sb="8" eb="11">
      <t>ハチオウジ</t>
    </rPh>
    <rPh sb="14" eb="15">
      <t>ノ</t>
    </rPh>
    <rPh sb="15" eb="16">
      <t>テン</t>
    </rPh>
    <phoneticPr fontId="6"/>
  </si>
  <si>
    <t>192-0916</t>
    <phoneticPr fontId="6"/>
  </si>
  <si>
    <t>八王子市みなみ野５－１５－５</t>
    <rPh sb="0" eb="4">
      <t>ハチオウジシ</t>
    </rPh>
    <phoneticPr fontId="6"/>
  </si>
  <si>
    <t>042-632-0680</t>
    <phoneticPr fontId="6"/>
  </si>
  <si>
    <t>ウエルシア薬局株式会社</t>
    <rPh sb="5" eb="7">
      <t>ヤッキョク</t>
    </rPh>
    <rPh sb="7" eb="11">
      <t>カブシキガイシャ</t>
    </rPh>
    <phoneticPr fontId="6"/>
  </si>
  <si>
    <t>101-0021</t>
    <phoneticPr fontId="6"/>
  </si>
  <si>
    <t>東京都千代田区外神田２－２－１５</t>
    <rPh sb="0" eb="3">
      <t>トウキョウト</t>
    </rPh>
    <rPh sb="7" eb="10">
      <t>ソトカンダ</t>
    </rPh>
    <phoneticPr fontId="5"/>
  </si>
  <si>
    <t>小澤　藍加</t>
    <rPh sb="0" eb="2">
      <t>オザワ</t>
    </rPh>
    <rPh sb="3" eb="4">
      <t>アイ</t>
    </rPh>
    <rPh sb="4" eb="5">
      <t>カ</t>
    </rPh>
    <phoneticPr fontId="6"/>
  </si>
  <si>
    <t>変更届(田中　美智子、～令和６年2月10日）</t>
    <rPh sb="4" eb="6">
      <t>タナカ</t>
    </rPh>
    <rPh sb="7" eb="10">
      <t>ミチコ</t>
    </rPh>
    <rPh sb="12" eb="14">
      <t>レイワ</t>
    </rPh>
    <phoneticPr fontId="6"/>
  </si>
  <si>
    <t>29八福障収第1219号</t>
    <rPh sb="2" eb="3">
      <t>ハチ</t>
    </rPh>
    <rPh sb="3" eb="4">
      <t>フク</t>
    </rPh>
    <rPh sb="4" eb="5">
      <t>サワ</t>
    </rPh>
    <rPh sb="5" eb="6">
      <t>シュウ</t>
    </rPh>
    <rPh sb="6" eb="7">
      <t>ダイ</t>
    </rPh>
    <rPh sb="11" eb="12">
      <t>ゴウ</t>
    </rPh>
    <phoneticPr fontId="6"/>
  </si>
  <si>
    <t>5八福障第6663号</t>
    <phoneticPr fontId="6"/>
  </si>
  <si>
    <t>変更届(代表取締役　松本忠久→田中純)、～令和５年３月１日）</t>
    <rPh sb="10" eb="12">
      <t>マツモト</t>
    </rPh>
    <rPh sb="12" eb="14">
      <t>タダヒサ</t>
    </rPh>
    <rPh sb="15" eb="17">
      <t>タナカ</t>
    </rPh>
    <rPh sb="17" eb="18">
      <t>ジュン</t>
    </rPh>
    <phoneticPr fontId="6"/>
  </si>
  <si>
    <t>2-84</t>
  </si>
  <si>
    <t>フォレスト南大沢薬局</t>
    <rPh sb="5" eb="8">
      <t>ミナミオオサワ</t>
    </rPh>
    <rPh sb="8" eb="10">
      <t>ヤッキョク</t>
    </rPh>
    <phoneticPr fontId="6"/>
  </si>
  <si>
    <t>八王子市南大沢２－２５－２Ｆ</t>
    <rPh sb="0" eb="4">
      <t>ハチオウジシ</t>
    </rPh>
    <rPh sb="4" eb="7">
      <t>ミナミオオサワ</t>
    </rPh>
    <phoneticPr fontId="6"/>
  </si>
  <si>
    <t>042-670-6624</t>
    <phoneticPr fontId="6"/>
  </si>
  <si>
    <t>株式会社サンドラッグ</t>
    <rPh sb="0" eb="4">
      <t>カブシキガイシャ</t>
    </rPh>
    <phoneticPr fontId="6"/>
  </si>
  <si>
    <t>183-0005</t>
    <phoneticPr fontId="6"/>
  </si>
  <si>
    <t>東京都府中市若松町１－３８－１</t>
    <rPh sb="0" eb="3">
      <t>トウキョウト</t>
    </rPh>
    <rPh sb="3" eb="6">
      <t>フチュウシ</t>
    </rPh>
    <rPh sb="6" eb="8">
      <t>ワカマツ</t>
    </rPh>
    <rPh sb="8" eb="9">
      <t>チョウ</t>
    </rPh>
    <phoneticPr fontId="6"/>
  </si>
  <si>
    <t>片岡　実香</t>
    <phoneticPr fontId="6"/>
  </si>
  <si>
    <t>変更届（藤田　一成、～令和6年9月30日）</t>
    <rPh sb="19" eb="20">
      <t>ニチ</t>
    </rPh>
    <phoneticPr fontId="6"/>
  </si>
  <si>
    <t>29八福障収第1092号</t>
    <rPh sb="2" eb="3">
      <t>ハチ</t>
    </rPh>
    <rPh sb="3" eb="4">
      <t>フク</t>
    </rPh>
    <rPh sb="4" eb="5">
      <t>サワ</t>
    </rPh>
    <rPh sb="5" eb="6">
      <t>シュウ</t>
    </rPh>
    <rPh sb="6" eb="7">
      <t>ダイ</t>
    </rPh>
    <rPh sb="11" eb="12">
      <t>ゴウ</t>
    </rPh>
    <phoneticPr fontId="6"/>
  </si>
  <si>
    <t>5八福障第6661号</t>
    <phoneticPr fontId="6"/>
  </si>
  <si>
    <t>変更届（開設者名（株式会社サンドラッグファーマシーズ（コード2954659)→、～令和２年4月1日）</t>
    <rPh sb="0" eb="2">
      <t>ヘンコウ</t>
    </rPh>
    <rPh sb="2" eb="3">
      <t>トドケ</t>
    </rPh>
    <rPh sb="4" eb="6">
      <t>カイセツ</t>
    </rPh>
    <rPh sb="6" eb="7">
      <t>シャ</t>
    </rPh>
    <rPh sb="7" eb="8">
      <t>メイ</t>
    </rPh>
    <rPh sb="9" eb="13">
      <t>カブシキガイシャ</t>
    </rPh>
    <rPh sb="41" eb="42">
      <t>レイ</t>
    </rPh>
    <rPh sb="42" eb="43">
      <t>ワ</t>
    </rPh>
    <rPh sb="44" eb="45">
      <t>ネン</t>
    </rPh>
    <rPh sb="46" eb="47">
      <t>ガツ</t>
    </rPh>
    <rPh sb="48" eb="49">
      <t>ニチ</t>
    </rPh>
    <phoneticPr fontId="5"/>
  </si>
  <si>
    <t>2-85</t>
  </si>
  <si>
    <t>薬局マツモトキヨシ　セレオ西八王子店</t>
    <rPh sb="0" eb="2">
      <t>ヤッキョク</t>
    </rPh>
    <rPh sb="13" eb="18">
      <t>ニシハチオウジテン</t>
    </rPh>
    <phoneticPr fontId="6"/>
  </si>
  <si>
    <t>193-0835</t>
    <phoneticPr fontId="6"/>
  </si>
  <si>
    <t>八王子市千人町２－２１－１　セレオ西八王子生活館１階</t>
    <rPh sb="0" eb="4">
      <t>ハチオウジシ</t>
    </rPh>
    <rPh sb="4" eb="7">
      <t>センニンチョウ</t>
    </rPh>
    <rPh sb="17" eb="21">
      <t>ニシハチオウジ</t>
    </rPh>
    <rPh sb="21" eb="23">
      <t>セイカツ</t>
    </rPh>
    <rPh sb="23" eb="24">
      <t>カン</t>
    </rPh>
    <rPh sb="25" eb="26">
      <t>カイ</t>
    </rPh>
    <phoneticPr fontId="6"/>
  </si>
  <si>
    <t>042-666-3224</t>
    <phoneticPr fontId="6"/>
  </si>
  <si>
    <t>株式会社マツモトキヨシ</t>
    <rPh sb="0" eb="4">
      <t>カブシキガイシャ</t>
    </rPh>
    <phoneticPr fontId="6"/>
  </si>
  <si>
    <t>270-8521</t>
    <phoneticPr fontId="6"/>
  </si>
  <si>
    <t>千葉県松戸市新松戸東９番地１</t>
    <rPh sb="0" eb="3">
      <t>チバケン</t>
    </rPh>
    <rPh sb="3" eb="6">
      <t>マツドシ</t>
    </rPh>
    <rPh sb="6" eb="9">
      <t>シンマツド</t>
    </rPh>
    <rPh sb="9" eb="10">
      <t>ヒガシ</t>
    </rPh>
    <rPh sb="11" eb="13">
      <t>バンチ</t>
    </rPh>
    <phoneticPr fontId="6"/>
  </si>
  <si>
    <t>道上　望</t>
    <rPh sb="0" eb="2">
      <t>ミチノウエ</t>
    </rPh>
    <rPh sb="3" eb="4">
      <t>ノゾミ</t>
    </rPh>
    <phoneticPr fontId="6"/>
  </si>
  <si>
    <t>変更届（山田　雅音　～令和6年7月20日）</t>
    <phoneticPr fontId="6"/>
  </si>
  <si>
    <t>30八福障収第878号</t>
    <rPh sb="2" eb="3">
      <t>ハチ</t>
    </rPh>
    <rPh sb="3" eb="4">
      <t>フク</t>
    </rPh>
    <rPh sb="4" eb="5">
      <t>サワ</t>
    </rPh>
    <rPh sb="5" eb="6">
      <t>シュウ</t>
    </rPh>
    <rPh sb="6" eb="7">
      <t>ダイ</t>
    </rPh>
    <rPh sb="10" eb="11">
      <t>ゴウ</t>
    </rPh>
    <phoneticPr fontId="6"/>
  </si>
  <si>
    <t>6八福障第5204号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</si>
  <si>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2-86</t>
  </si>
  <si>
    <t>下島調剤薬局</t>
    <rPh sb="0" eb="2">
      <t>シモジマ</t>
    </rPh>
    <rPh sb="2" eb="4">
      <t>チョウザイ</t>
    </rPh>
    <rPh sb="4" eb="6">
      <t>ヤッキョク</t>
    </rPh>
    <phoneticPr fontId="6"/>
  </si>
  <si>
    <t>192-0052</t>
    <phoneticPr fontId="6"/>
  </si>
  <si>
    <t>八王子市本郷町３－２０</t>
    <rPh sb="0" eb="4">
      <t>ハチオウジシ</t>
    </rPh>
    <rPh sb="4" eb="7">
      <t>ホンゴウチョウ</t>
    </rPh>
    <phoneticPr fontId="6"/>
  </si>
  <si>
    <t>042-622-8304</t>
    <phoneticPr fontId="6"/>
  </si>
  <si>
    <t>株式会社下島愛生堂薬局</t>
    <rPh sb="0" eb="4">
      <t>カブシキガイシャ</t>
    </rPh>
    <rPh sb="4" eb="6">
      <t>シモジマ</t>
    </rPh>
    <rPh sb="6" eb="8">
      <t>アイセイ</t>
    </rPh>
    <rPh sb="8" eb="9">
      <t>ドウ</t>
    </rPh>
    <rPh sb="9" eb="11">
      <t>ヤッキョク</t>
    </rPh>
    <phoneticPr fontId="6"/>
  </si>
  <si>
    <t>東京都八王子市本郷町３－２０</t>
    <rPh sb="0" eb="3">
      <t>トウキョウト</t>
    </rPh>
    <rPh sb="3" eb="7">
      <t>ハチオウジシ</t>
    </rPh>
    <rPh sb="7" eb="10">
      <t>ホンゴウチョウ</t>
    </rPh>
    <phoneticPr fontId="6"/>
  </si>
  <si>
    <t>岩本　由佳</t>
    <phoneticPr fontId="6"/>
  </si>
  <si>
    <t>変更届（下島　潤一　～令和6年10月6日）</t>
    <phoneticPr fontId="6"/>
  </si>
  <si>
    <t>30八福障収第956号</t>
    <rPh sb="2" eb="3">
      <t>ハチ</t>
    </rPh>
    <rPh sb="3" eb="4">
      <t>フク</t>
    </rPh>
    <rPh sb="4" eb="5">
      <t>サワ</t>
    </rPh>
    <rPh sb="5" eb="6">
      <t>シュウ</t>
    </rPh>
    <rPh sb="6" eb="7">
      <t>ダイ</t>
    </rPh>
    <rPh sb="10" eb="11">
      <t>ゴウ</t>
    </rPh>
    <phoneticPr fontId="6"/>
  </si>
  <si>
    <t>6八福障第5156号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</si>
  <si>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2-87</t>
  </si>
  <si>
    <t>オレンジ薬局　鑓水店</t>
    <rPh sb="4" eb="6">
      <t>ヤッキョク</t>
    </rPh>
    <rPh sb="7" eb="9">
      <t>ヤリミズ</t>
    </rPh>
    <rPh sb="9" eb="10">
      <t>テン</t>
    </rPh>
    <phoneticPr fontId="5"/>
  </si>
  <si>
    <t>192-0375</t>
    <phoneticPr fontId="6"/>
  </si>
  <si>
    <t>八王子市鑓水２－１７５－９</t>
    <rPh sb="0" eb="4">
      <t>ハチオウジシ</t>
    </rPh>
    <rPh sb="4" eb="6">
      <t>ヤリミズ</t>
    </rPh>
    <phoneticPr fontId="6"/>
  </si>
  <si>
    <t>042-689-4501</t>
    <phoneticPr fontId="6"/>
  </si>
  <si>
    <t>株式会社エアリーファーマシー</t>
    <rPh sb="0" eb="4">
      <t>カブシキガイシャ</t>
    </rPh>
    <phoneticPr fontId="6"/>
  </si>
  <si>
    <t>254-0905</t>
    <phoneticPr fontId="6"/>
  </si>
  <si>
    <t>神奈川県平塚市日向岡１－７－１２</t>
    <rPh sb="4" eb="7">
      <t>ヒラツカシ</t>
    </rPh>
    <rPh sb="7" eb="9">
      <t>ヒムカイ</t>
    </rPh>
    <rPh sb="9" eb="10">
      <t>オカ</t>
    </rPh>
    <phoneticPr fontId="6"/>
  </si>
  <si>
    <t>出射　健太</t>
    <rPh sb="0" eb="1">
      <t>デ</t>
    </rPh>
    <rPh sb="1" eb="2">
      <t>イ</t>
    </rPh>
    <rPh sb="3" eb="5">
      <t>ケンタ</t>
    </rPh>
    <phoneticPr fontId="6"/>
  </si>
  <si>
    <t>30八福障収第911号</t>
    <rPh sb="2" eb="3">
      <t>ハチ</t>
    </rPh>
    <rPh sb="3" eb="4">
      <t>フク</t>
    </rPh>
    <rPh sb="4" eb="5">
      <t>サワ</t>
    </rPh>
    <rPh sb="5" eb="6">
      <t>シュウ</t>
    </rPh>
    <rPh sb="6" eb="7">
      <t>ダイ</t>
    </rPh>
    <rPh sb="10" eb="11">
      <t>ゴウ</t>
    </rPh>
    <phoneticPr fontId="6"/>
  </si>
  <si>
    <t>6八福障第5501号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</si>
  <si>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変更届（開設者名（株式会社リバーサル、東京都中央区八重洲1-5-15（コード2955318)→、～令和4年4月1日）</t>
    <rPh sb="9" eb="13">
      <t>カブシキガイシャ</t>
    </rPh>
    <rPh sb="19" eb="22">
      <t>トウキョウト</t>
    </rPh>
    <rPh sb="22" eb="25">
      <t>チュウオウク</t>
    </rPh>
    <rPh sb="25" eb="28">
      <t>ヤエス</t>
    </rPh>
    <phoneticPr fontId="6"/>
  </si>
  <si>
    <t>変更届（代表取締役（田代　雅也→岡田なぎさ)→、～令和4年4月1日）</t>
    <rPh sb="4" eb="6">
      <t>ダイヒョウ</t>
    </rPh>
    <rPh sb="6" eb="9">
      <t>トリシマリヤク</t>
    </rPh>
    <rPh sb="10" eb="12">
      <t>タシロ</t>
    </rPh>
    <rPh sb="13" eb="15">
      <t>マサヤ</t>
    </rPh>
    <rPh sb="16" eb="18">
      <t>オカダ</t>
    </rPh>
    <phoneticPr fontId="6"/>
  </si>
  <si>
    <t>2-88</t>
    <phoneticPr fontId="6"/>
  </si>
  <si>
    <t>薬のヒグチ薬局　北八王子店</t>
    <rPh sb="0" eb="1">
      <t>クスリ</t>
    </rPh>
    <rPh sb="5" eb="7">
      <t>ヤッキョク</t>
    </rPh>
    <rPh sb="8" eb="13">
      <t>キタハチオウジテン</t>
    </rPh>
    <phoneticPr fontId="5"/>
  </si>
  <si>
    <t>192-0032</t>
    <phoneticPr fontId="6"/>
  </si>
  <si>
    <t>八王子市石川町２９６０－８</t>
    <rPh sb="0" eb="4">
      <t>ハチオウジシ</t>
    </rPh>
    <rPh sb="4" eb="6">
      <t>イシカワ</t>
    </rPh>
    <rPh sb="6" eb="7">
      <t>マチ</t>
    </rPh>
    <phoneticPr fontId="6"/>
  </si>
  <si>
    <t>042-660-8341</t>
    <phoneticPr fontId="6"/>
  </si>
  <si>
    <t>ファーマライズ株式会社</t>
    <rPh sb="7" eb="11">
      <t>カブシキガイシャ</t>
    </rPh>
    <phoneticPr fontId="6"/>
  </si>
  <si>
    <t>164-0011</t>
    <phoneticPr fontId="6"/>
  </si>
  <si>
    <t>東京都中央区中央１－３８－１</t>
    <rPh sb="0" eb="3">
      <t>トウキョウト</t>
    </rPh>
    <rPh sb="3" eb="6">
      <t>チュウオウク</t>
    </rPh>
    <rPh sb="6" eb="8">
      <t>チュウオウ</t>
    </rPh>
    <phoneticPr fontId="6"/>
  </si>
  <si>
    <t>鈴木　洋一</t>
    <rPh sb="0" eb="2">
      <t>スズキ</t>
    </rPh>
    <rPh sb="3" eb="5">
      <t>ヨウイチ</t>
    </rPh>
    <phoneticPr fontId="6"/>
  </si>
  <si>
    <t>変更届(廣瀨　誠、～令和6年8月31日）</t>
    <rPh sb="10" eb="12">
      <t>レイワ</t>
    </rPh>
    <phoneticPr fontId="6"/>
  </si>
  <si>
    <t>30八福障収第2231号</t>
    <rPh sb="2" eb="3">
      <t>ハチ</t>
    </rPh>
    <rPh sb="3" eb="4">
      <t>フク</t>
    </rPh>
    <rPh sb="4" eb="5">
      <t>サワ</t>
    </rPh>
    <rPh sb="5" eb="6">
      <t>シュウ</t>
    </rPh>
    <rPh sb="6" eb="7">
      <t>ダイ</t>
    </rPh>
    <rPh sb="11" eb="12">
      <t>ゴウ</t>
    </rPh>
    <phoneticPr fontId="6"/>
  </si>
  <si>
    <t>6八福障第6796号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6"/>
  </si>
  <si>
    <t>変更届（開設者名（薬ヒグチ＆ファーマライズ株式会社（コード2955052)→、～令和元年5月31日）</t>
    <rPh sb="0" eb="2">
      <t>ヘンコウ</t>
    </rPh>
    <rPh sb="2" eb="3">
      <t>トドケ</t>
    </rPh>
    <rPh sb="4" eb="6">
      <t>カイセツ</t>
    </rPh>
    <rPh sb="6" eb="7">
      <t>シャ</t>
    </rPh>
    <rPh sb="7" eb="8">
      <t>メイ</t>
    </rPh>
    <rPh sb="40" eb="41">
      <t>レイ</t>
    </rPh>
    <rPh sb="41" eb="42">
      <t>ワ</t>
    </rPh>
    <rPh sb="42" eb="44">
      <t>ガンネン</t>
    </rPh>
    <rPh sb="45" eb="46">
      <t>ガツ</t>
    </rPh>
    <rPh sb="48" eb="49">
      <t>ニチ</t>
    </rPh>
    <phoneticPr fontId="5"/>
  </si>
  <si>
    <t>2-89</t>
  </si>
  <si>
    <t>クリエイト薬局　八王子万町店</t>
    <rPh sb="5" eb="7">
      <t>ヤッキョク</t>
    </rPh>
    <rPh sb="8" eb="11">
      <t>ハチオウジ</t>
    </rPh>
    <rPh sb="11" eb="13">
      <t>ヨロズマチ</t>
    </rPh>
    <rPh sb="13" eb="14">
      <t>テン</t>
    </rPh>
    <phoneticPr fontId="6"/>
  </si>
  <si>
    <t>192-0903</t>
    <phoneticPr fontId="6"/>
  </si>
  <si>
    <t>八王子市万町２０－１</t>
    <rPh sb="0" eb="4">
      <t>ハチオウジシ</t>
    </rPh>
    <phoneticPr fontId="6"/>
  </si>
  <si>
    <t>042-655-1070</t>
    <phoneticPr fontId="6"/>
  </si>
  <si>
    <t>株式会社クリエイトエス・ディー</t>
    <rPh sb="0" eb="4">
      <t>カブシキガイシャ</t>
    </rPh>
    <phoneticPr fontId="6"/>
  </si>
  <si>
    <t>小松　結</t>
    <rPh sb="0" eb="2">
      <t>コマツ</t>
    </rPh>
    <rPh sb="3" eb="4">
      <t>ユイ</t>
    </rPh>
    <phoneticPr fontId="6"/>
  </si>
  <si>
    <t>変更届（清水　翔太、～令和5年9月10日）</t>
    <rPh sb="4" eb="6">
      <t>シミズ</t>
    </rPh>
    <rPh sb="7" eb="9">
      <t>ショウタ</t>
    </rPh>
    <phoneticPr fontId="6"/>
  </si>
  <si>
    <t>令和元年7月1日</t>
    <rPh sb="0" eb="1">
      <t>レイ</t>
    </rPh>
    <rPh sb="1" eb="2">
      <t>ワ</t>
    </rPh>
    <rPh sb="2" eb="4">
      <t>ガンネン</t>
    </rPh>
    <rPh sb="5" eb="6">
      <t>ガツ</t>
    </rPh>
    <rPh sb="7" eb="8">
      <t>ニチ</t>
    </rPh>
    <phoneticPr fontId="6"/>
  </si>
  <si>
    <t>31八福障収第109号</t>
    <rPh sb="2" eb="3">
      <t>ハチ</t>
    </rPh>
    <rPh sb="3" eb="4">
      <t>フク</t>
    </rPh>
    <rPh sb="4" eb="5">
      <t>サワ</t>
    </rPh>
    <rPh sb="5" eb="6">
      <t>シュウ</t>
    </rPh>
    <rPh sb="6" eb="7">
      <t>ダイ</t>
    </rPh>
    <rPh sb="10" eb="11">
      <t>ゴウ</t>
    </rPh>
    <phoneticPr fontId="6"/>
  </si>
  <si>
    <t>2-90</t>
  </si>
  <si>
    <t>日本調剤　八王子南口薬局</t>
    <rPh sb="0" eb="2">
      <t>ニホン</t>
    </rPh>
    <rPh sb="2" eb="4">
      <t>チョウザイ</t>
    </rPh>
    <rPh sb="5" eb="8">
      <t>ハチオウジ</t>
    </rPh>
    <rPh sb="8" eb="10">
      <t>ミナミグチ</t>
    </rPh>
    <rPh sb="10" eb="12">
      <t>ヤッキョク</t>
    </rPh>
    <phoneticPr fontId="6"/>
  </si>
  <si>
    <t>八王子市子安町１－１－３　南口第二ビル１階</t>
    <rPh sb="0" eb="4">
      <t>ハチオウジシ</t>
    </rPh>
    <rPh sb="4" eb="7">
      <t>コヤスマチ</t>
    </rPh>
    <rPh sb="13" eb="15">
      <t>ミナミグチ</t>
    </rPh>
    <rPh sb="15" eb="16">
      <t>ダイ</t>
    </rPh>
    <rPh sb="16" eb="17">
      <t>ニ</t>
    </rPh>
    <rPh sb="20" eb="21">
      <t>カイ</t>
    </rPh>
    <phoneticPr fontId="6"/>
  </si>
  <si>
    <t>042-649-8833</t>
    <phoneticPr fontId="6"/>
  </si>
  <si>
    <t>駒田　沙織</t>
    <rPh sb="0" eb="2">
      <t>コマダ</t>
    </rPh>
    <rPh sb="3" eb="5">
      <t>サオリ</t>
    </rPh>
    <phoneticPr fontId="6"/>
  </si>
  <si>
    <t>変更届（田島保利、～令和元年６月１日）</t>
    <rPh sb="4" eb="6">
      <t>タジマ</t>
    </rPh>
    <rPh sb="6" eb="8">
      <t>ヤストシ</t>
    </rPh>
    <rPh sb="10" eb="11">
      <t>レイ</t>
    </rPh>
    <rPh sb="11" eb="12">
      <t>ワ</t>
    </rPh>
    <rPh sb="12" eb="13">
      <t>ガン</t>
    </rPh>
    <phoneticPr fontId="6"/>
  </si>
  <si>
    <t>令和元年7月1日</t>
    <rPh sb="0" eb="2">
      <t>レイワ</t>
    </rPh>
    <rPh sb="2" eb="4">
      <t>ガンネン</t>
    </rPh>
    <rPh sb="5" eb="6">
      <t>ガツ</t>
    </rPh>
    <rPh sb="7" eb="8">
      <t>ニチ</t>
    </rPh>
    <phoneticPr fontId="6"/>
  </si>
  <si>
    <t>31八福障収第169号</t>
    <rPh sb="2" eb="3">
      <t>ハチ</t>
    </rPh>
    <rPh sb="3" eb="4">
      <t>フク</t>
    </rPh>
    <rPh sb="4" eb="5">
      <t>サワ</t>
    </rPh>
    <rPh sb="5" eb="6">
      <t>シュウ</t>
    </rPh>
    <rPh sb="6" eb="7">
      <t>ダイ</t>
    </rPh>
    <rPh sb="10" eb="11">
      <t>ゴウ</t>
    </rPh>
    <phoneticPr fontId="6"/>
  </si>
  <si>
    <t xml:space="preserve">辞退届（～令和2年1月1日、管理薬剤師が要件を満たさないため）
</t>
    <rPh sb="0" eb="2">
      <t>ジタイ</t>
    </rPh>
    <rPh sb="2" eb="3">
      <t>トドケ</t>
    </rPh>
    <rPh sb="5" eb="6">
      <t>レイ</t>
    </rPh>
    <rPh sb="6" eb="7">
      <t>ワ</t>
    </rPh>
    <rPh sb="8" eb="9">
      <t>ネン</t>
    </rPh>
    <rPh sb="10" eb="11">
      <t>ガツ</t>
    </rPh>
    <rPh sb="12" eb="13">
      <t>ニチ</t>
    </rPh>
    <rPh sb="14" eb="16">
      <t>カンリ</t>
    </rPh>
    <rPh sb="16" eb="19">
      <t>ヤクザイシ</t>
    </rPh>
    <rPh sb="20" eb="22">
      <t>ヨウケン</t>
    </rPh>
    <rPh sb="23" eb="24">
      <t>ミ</t>
    </rPh>
    <phoneticPr fontId="6"/>
  </si>
  <si>
    <t>2-90</t>
    <phoneticPr fontId="6"/>
  </si>
  <si>
    <t>八王子市子安町１－１－３　南口第二ビル１階</t>
  </si>
  <si>
    <t>042-649-8833</t>
  </si>
  <si>
    <t>播田　千歳</t>
    <rPh sb="0" eb="2">
      <t>ハリタ</t>
    </rPh>
    <rPh sb="3" eb="5">
      <t>チトセ</t>
    </rPh>
    <phoneticPr fontId="6"/>
  </si>
  <si>
    <t>２八福障収第1729号</t>
    <rPh sb="1" eb="2">
      <t>ハチ</t>
    </rPh>
    <rPh sb="2" eb="3">
      <t>フク</t>
    </rPh>
    <rPh sb="3" eb="4">
      <t>サワ</t>
    </rPh>
    <rPh sb="4" eb="5">
      <t>シュウ</t>
    </rPh>
    <rPh sb="5" eb="6">
      <t>ダイ</t>
    </rPh>
    <rPh sb="10" eb="11">
      <t>ゴウ</t>
    </rPh>
    <phoneticPr fontId="6"/>
  </si>
  <si>
    <t>2-91</t>
  </si>
  <si>
    <t>クリエイト薬局八王子散田町店</t>
    <rPh sb="5" eb="7">
      <t>ヤッキョク</t>
    </rPh>
    <rPh sb="7" eb="10">
      <t>ハチオウジ</t>
    </rPh>
    <rPh sb="10" eb="12">
      <t>サンダ</t>
    </rPh>
    <rPh sb="12" eb="13">
      <t>マチ</t>
    </rPh>
    <rPh sb="13" eb="14">
      <t>テン</t>
    </rPh>
    <phoneticPr fontId="6"/>
  </si>
  <si>
    <t>193-0832</t>
    <phoneticPr fontId="6"/>
  </si>
  <si>
    <t>八王子市散田町３－１４－２０</t>
    <rPh sb="0" eb="4">
      <t>ハチオウジシ</t>
    </rPh>
    <rPh sb="4" eb="6">
      <t>サンダ</t>
    </rPh>
    <rPh sb="6" eb="7">
      <t>マチ</t>
    </rPh>
    <phoneticPr fontId="6"/>
  </si>
  <si>
    <t>042-662-1033</t>
    <phoneticPr fontId="6"/>
  </si>
  <si>
    <t>関川　裕也</t>
    <phoneticPr fontId="6"/>
  </si>
  <si>
    <t>変更届（鳥谷　いづみ、～令和6年9月10日）</t>
    <rPh sb="0" eb="3">
      <t>ヘンコウトドケ</t>
    </rPh>
    <rPh sb="4" eb="6">
      <t>トリタニ</t>
    </rPh>
    <rPh sb="12" eb="14">
      <t>レイワ</t>
    </rPh>
    <rPh sb="15" eb="16">
      <t>ネン</t>
    </rPh>
    <rPh sb="17" eb="18">
      <t>ガツ</t>
    </rPh>
    <rPh sb="20" eb="21">
      <t>ニチ</t>
    </rPh>
    <phoneticPr fontId="6"/>
  </si>
  <si>
    <t>31八福障収第1484号</t>
    <rPh sb="2" eb="3">
      <t>ハチ</t>
    </rPh>
    <rPh sb="3" eb="4">
      <t>フク</t>
    </rPh>
    <rPh sb="4" eb="5">
      <t>サワ</t>
    </rPh>
    <rPh sb="5" eb="6">
      <t>シュウ</t>
    </rPh>
    <rPh sb="6" eb="7">
      <t>ダイ</t>
    </rPh>
    <rPh sb="11" eb="12">
      <t>ゴウ</t>
    </rPh>
    <phoneticPr fontId="6"/>
  </si>
  <si>
    <t>2-92</t>
  </si>
  <si>
    <t>スギ薬局　八王子別所店</t>
    <rPh sb="2" eb="4">
      <t>ヤッキョク</t>
    </rPh>
    <rPh sb="5" eb="8">
      <t>ハチオウジ</t>
    </rPh>
    <rPh sb="8" eb="10">
      <t>ベッショ</t>
    </rPh>
    <rPh sb="10" eb="11">
      <t>テン</t>
    </rPh>
    <phoneticPr fontId="6"/>
  </si>
  <si>
    <t>192-0363</t>
    <phoneticPr fontId="6"/>
  </si>
  <si>
    <t>八王子市別所２－４１－１</t>
    <rPh sb="0" eb="4">
      <t>ハチオウジシ</t>
    </rPh>
    <rPh sb="4" eb="6">
      <t>ベッショ</t>
    </rPh>
    <phoneticPr fontId="6"/>
  </si>
  <si>
    <t>042-682-3745</t>
    <phoneticPr fontId="6"/>
  </si>
  <si>
    <t>株式会社スギ薬局</t>
    <rPh sb="0" eb="4">
      <t>カブシキガイシャ</t>
    </rPh>
    <rPh sb="6" eb="8">
      <t>ヤッキョク</t>
    </rPh>
    <phoneticPr fontId="5"/>
  </si>
  <si>
    <t>446-0056</t>
    <phoneticPr fontId="6"/>
  </si>
  <si>
    <t>竹内　惇</t>
    <rPh sb="0" eb="2">
      <t>タケウチ</t>
    </rPh>
    <rPh sb="3" eb="4">
      <t>アツシ</t>
    </rPh>
    <phoneticPr fontId="6"/>
  </si>
  <si>
    <t>２八福障収第187号</t>
    <rPh sb="1" eb="2">
      <t>ハチ</t>
    </rPh>
    <rPh sb="2" eb="3">
      <t>フク</t>
    </rPh>
    <rPh sb="3" eb="4">
      <t>サワ</t>
    </rPh>
    <rPh sb="4" eb="5">
      <t>シュウ</t>
    </rPh>
    <rPh sb="5" eb="6">
      <t>ダイ</t>
    </rPh>
    <rPh sb="9" eb="10">
      <t>ゴウ</t>
    </rPh>
    <phoneticPr fontId="6"/>
  </si>
  <si>
    <t>2-93</t>
  </si>
  <si>
    <t>ノムラ薬局　東中野店</t>
    <rPh sb="3" eb="5">
      <t>ヤッキョク</t>
    </rPh>
    <rPh sb="6" eb="9">
      <t>ヒガシナカノ</t>
    </rPh>
    <rPh sb="9" eb="10">
      <t>テン</t>
    </rPh>
    <phoneticPr fontId="6"/>
  </si>
  <si>
    <t>192-0351</t>
    <phoneticPr fontId="6"/>
  </si>
  <si>
    <t>八王子市東中野79-2</t>
    <rPh sb="0" eb="4">
      <t>ハチオウジシ</t>
    </rPh>
    <rPh sb="4" eb="7">
      <t>ヒガシナカノ</t>
    </rPh>
    <phoneticPr fontId="6"/>
  </si>
  <si>
    <t>042-670-821</t>
    <phoneticPr fontId="6"/>
  </si>
  <si>
    <t>株式会社ノムラ薬局</t>
    <rPh sb="0" eb="4">
      <t>カブシキガイシャ</t>
    </rPh>
    <rPh sb="7" eb="9">
      <t>ヤッキョク</t>
    </rPh>
    <phoneticPr fontId="6"/>
  </si>
  <si>
    <t>191-0053</t>
    <phoneticPr fontId="6"/>
  </si>
  <si>
    <t>東京都日野市豊田3-32-4</t>
    <rPh sb="0" eb="2">
      <t>トウキョウ</t>
    </rPh>
    <rPh sb="2" eb="3">
      <t>ト</t>
    </rPh>
    <rPh sb="3" eb="6">
      <t>ヒノシ</t>
    </rPh>
    <rPh sb="6" eb="8">
      <t>トヨダ</t>
    </rPh>
    <phoneticPr fontId="5"/>
  </si>
  <si>
    <t>滝島　麻衣</t>
    <rPh sb="0" eb="2">
      <t>タキシマ</t>
    </rPh>
    <rPh sb="3" eb="5">
      <t>マイ</t>
    </rPh>
    <phoneticPr fontId="6"/>
  </si>
  <si>
    <t>２八福障収第715号</t>
    <rPh sb="1" eb="2">
      <t>ハチ</t>
    </rPh>
    <rPh sb="2" eb="3">
      <t>フク</t>
    </rPh>
    <rPh sb="3" eb="4">
      <t>サワ</t>
    </rPh>
    <rPh sb="4" eb="5">
      <t>シュウ</t>
    </rPh>
    <rPh sb="5" eb="6">
      <t>ダイ</t>
    </rPh>
    <rPh sb="9" eb="10">
      <t>ゴウ</t>
    </rPh>
    <phoneticPr fontId="6"/>
  </si>
  <si>
    <t>2-94</t>
  </si>
  <si>
    <t>あおば薬局　八王子みなみ野店</t>
    <rPh sb="3" eb="5">
      <t>ヤッキョク</t>
    </rPh>
    <rPh sb="6" eb="9">
      <t>ハチオウジ</t>
    </rPh>
    <rPh sb="12" eb="13">
      <t>ノ</t>
    </rPh>
    <rPh sb="13" eb="14">
      <t>テン</t>
    </rPh>
    <phoneticPr fontId="6"/>
  </si>
  <si>
    <t>192-0918</t>
    <phoneticPr fontId="6"/>
  </si>
  <si>
    <t>八王子市兵衛1-3-1　ミクリスシティ103</t>
    <rPh sb="0" eb="4">
      <t>ハチオウジシ</t>
    </rPh>
    <rPh sb="4" eb="6">
      <t>ヒョウエ</t>
    </rPh>
    <phoneticPr fontId="6"/>
  </si>
  <si>
    <t>042-632-5051</t>
    <phoneticPr fontId="6"/>
  </si>
  <si>
    <t>株式会社アオバメディカル</t>
    <rPh sb="0" eb="4">
      <t>カブシキガイシャ</t>
    </rPh>
    <phoneticPr fontId="6"/>
  </si>
  <si>
    <t>252-0224</t>
    <phoneticPr fontId="6"/>
  </si>
  <si>
    <t>神奈川県相模原市中央区青葉1-11-7</t>
    <rPh sb="0" eb="4">
      <t>カナガワケン</t>
    </rPh>
    <rPh sb="4" eb="8">
      <t>サガミハラシ</t>
    </rPh>
    <rPh sb="8" eb="11">
      <t>チュウオウク</t>
    </rPh>
    <rPh sb="11" eb="13">
      <t>アオバ</t>
    </rPh>
    <phoneticPr fontId="5"/>
  </si>
  <si>
    <t>中村　優子</t>
    <rPh sb="0" eb="2">
      <t>ナカムラ</t>
    </rPh>
    <rPh sb="3" eb="5">
      <t>ユウコ</t>
    </rPh>
    <phoneticPr fontId="6"/>
  </si>
  <si>
    <t>２八福障収第689号</t>
    <rPh sb="1" eb="2">
      <t>ハチ</t>
    </rPh>
    <rPh sb="2" eb="3">
      <t>フク</t>
    </rPh>
    <rPh sb="3" eb="4">
      <t>サワ</t>
    </rPh>
    <rPh sb="4" eb="5">
      <t>シュウ</t>
    </rPh>
    <rPh sb="5" eb="6">
      <t>ダイ</t>
    </rPh>
    <rPh sb="9" eb="10">
      <t>ゴウ</t>
    </rPh>
    <phoneticPr fontId="6"/>
  </si>
  <si>
    <t>2-95</t>
  </si>
  <si>
    <t>日本調剤　アークス薬局</t>
    <rPh sb="0" eb="2">
      <t>ニホン</t>
    </rPh>
    <rPh sb="2" eb="4">
      <t>チョウザイ</t>
    </rPh>
    <rPh sb="9" eb="11">
      <t>ヤッキョク</t>
    </rPh>
    <phoneticPr fontId="6"/>
  </si>
  <si>
    <t>八王子市明神町4-3-8</t>
    <rPh sb="0" eb="4">
      <t>ハチオウジシ</t>
    </rPh>
    <rPh sb="4" eb="6">
      <t>ミョウジン</t>
    </rPh>
    <rPh sb="6" eb="7">
      <t>チョウ</t>
    </rPh>
    <phoneticPr fontId="6"/>
  </si>
  <si>
    <t>042-646-5711</t>
    <phoneticPr fontId="6"/>
  </si>
  <si>
    <t>日本調剤株式会社</t>
    <rPh sb="0" eb="2">
      <t>ニホン</t>
    </rPh>
    <rPh sb="2" eb="4">
      <t>チョウザイ</t>
    </rPh>
    <rPh sb="4" eb="8">
      <t>カブシキガイシャ</t>
    </rPh>
    <phoneticPr fontId="6"/>
  </si>
  <si>
    <t>川﨑　萌子</t>
    <rPh sb="0" eb="2">
      <t>カワサキ</t>
    </rPh>
    <rPh sb="3" eb="5">
      <t>モエコ</t>
    </rPh>
    <phoneticPr fontId="6"/>
  </si>
  <si>
    <t>変更届(上原　優奈、令和3年7月1日)</t>
    <rPh sb="0" eb="3">
      <t>ヘンコウトドケ</t>
    </rPh>
    <rPh sb="10" eb="12">
      <t>レイワ</t>
    </rPh>
    <rPh sb="13" eb="14">
      <t>ネン</t>
    </rPh>
    <rPh sb="15" eb="16">
      <t>ガツ</t>
    </rPh>
    <rPh sb="17" eb="18">
      <t>ニチ</t>
    </rPh>
    <phoneticPr fontId="5"/>
  </si>
  <si>
    <t>２八福障収第356号</t>
    <rPh sb="1" eb="2">
      <t>ハチ</t>
    </rPh>
    <rPh sb="2" eb="3">
      <t>フク</t>
    </rPh>
    <rPh sb="3" eb="4">
      <t>サワ</t>
    </rPh>
    <rPh sb="4" eb="5">
      <t>シュウ</t>
    </rPh>
    <rPh sb="5" eb="6">
      <t>ダイ</t>
    </rPh>
    <rPh sb="9" eb="10">
      <t>ゴウ</t>
    </rPh>
    <phoneticPr fontId="6"/>
  </si>
  <si>
    <t>変更届(代表取締役社長：笠井　直人→小城　和紀)、変更日：令和7年6月25日</t>
    <rPh sb="9" eb="11">
      <t>シャチョウ</t>
    </rPh>
    <rPh sb="12" eb="14">
      <t>カサイ</t>
    </rPh>
    <rPh sb="15" eb="17">
      <t>ナオト</t>
    </rPh>
    <rPh sb="18" eb="20">
      <t>コシロ</t>
    </rPh>
    <rPh sb="21" eb="23">
      <t>カズノリ</t>
    </rPh>
    <phoneticPr fontId="6"/>
  </si>
  <si>
    <t>2-96</t>
  </si>
  <si>
    <t>スギ薬局　八王子店</t>
    <rPh sb="2" eb="4">
      <t>ヤッキョク</t>
    </rPh>
    <rPh sb="5" eb="9">
      <t>ハチオウジテン</t>
    </rPh>
    <phoneticPr fontId="6"/>
  </si>
  <si>
    <t xml:space="preserve">192-0085 </t>
  </si>
  <si>
    <t>八王子市中町4番5号</t>
    <rPh sb="0" eb="4">
      <t>ハチオウジシ</t>
    </rPh>
    <rPh sb="4" eb="6">
      <t>ナカマチ</t>
    </rPh>
    <rPh sb="7" eb="8">
      <t>バン</t>
    </rPh>
    <rPh sb="9" eb="10">
      <t>ゴウ</t>
    </rPh>
    <phoneticPr fontId="6"/>
  </si>
  <si>
    <t>042-649-8322</t>
    <phoneticPr fontId="6"/>
  </si>
  <si>
    <t>株式会社スギ薬局</t>
    <rPh sb="0" eb="4">
      <t>カブシキカイシャ</t>
    </rPh>
    <rPh sb="6" eb="8">
      <t>ヤッキョク</t>
    </rPh>
    <phoneticPr fontId="6"/>
  </si>
  <si>
    <t>山田　龍太郎</t>
    <rPh sb="0" eb="2">
      <t>ヤマダ</t>
    </rPh>
    <rPh sb="3" eb="6">
      <t>リュウタロウ</t>
    </rPh>
    <phoneticPr fontId="6"/>
  </si>
  <si>
    <t>２八福障収第1099号</t>
    <rPh sb="1" eb="2">
      <t>ハチ</t>
    </rPh>
    <rPh sb="2" eb="3">
      <t>フク</t>
    </rPh>
    <rPh sb="3" eb="4">
      <t>サワ</t>
    </rPh>
    <rPh sb="4" eb="5">
      <t>シュウ</t>
    </rPh>
    <rPh sb="5" eb="6">
      <t>ダイ</t>
    </rPh>
    <rPh sb="10" eb="11">
      <t>ゴウ</t>
    </rPh>
    <phoneticPr fontId="6"/>
  </si>
  <si>
    <t>2-97</t>
  </si>
  <si>
    <t>クリエイト薬局八王子越野店</t>
    <rPh sb="5" eb="7">
      <t>ヤッキョク</t>
    </rPh>
    <rPh sb="7" eb="10">
      <t>ハチオウジ</t>
    </rPh>
    <rPh sb="10" eb="12">
      <t>コシノ</t>
    </rPh>
    <rPh sb="12" eb="13">
      <t>テン</t>
    </rPh>
    <phoneticPr fontId="6"/>
  </si>
  <si>
    <t>192-0361</t>
    <phoneticPr fontId="6"/>
  </si>
  <si>
    <t>八王子市越野9-2</t>
    <rPh sb="0" eb="4">
      <t>ハチオウジシ</t>
    </rPh>
    <rPh sb="4" eb="6">
      <t>コシノ</t>
    </rPh>
    <phoneticPr fontId="6"/>
  </si>
  <si>
    <t>042-670-1120</t>
    <phoneticPr fontId="6"/>
  </si>
  <si>
    <t>株式会社クリエイトエス・ディー</t>
    <rPh sb="0" eb="1">
      <t>カブ</t>
    </rPh>
    <rPh sb="1" eb="2">
      <t>シキ</t>
    </rPh>
    <rPh sb="2" eb="4">
      <t>ガイシャ</t>
    </rPh>
    <phoneticPr fontId="6"/>
  </si>
  <si>
    <t>神奈川県横浜市青葉区荏田西２－３－２</t>
  </si>
  <si>
    <t>守屋　大輔</t>
    <rPh sb="0" eb="2">
      <t>モリヤ</t>
    </rPh>
    <rPh sb="3" eb="5">
      <t>ダイスケ</t>
    </rPh>
    <phoneticPr fontId="6"/>
  </si>
  <si>
    <t>２八福障収第1497号</t>
    <rPh sb="1" eb="2">
      <t>ハチ</t>
    </rPh>
    <rPh sb="2" eb="3">
      <t>フク</t>
    </rPh>
    <rPh sb="3" eb="4">
      <t>サワ</t>
    </rPh>
    <rPh sb="4" eb="5">
      <t>シュウ</t>
    </rPh>
    <rPh sb="5" eb="6">
      <t>ダイ</t>
    </rPh>
    <rPh sb="10" eb="11">
      <t>ゴウ</t>
    </rPh>
    <phoneticPr fontId="6"/>
  </si>
  <si>
    <t>2-98</t>
  </si>
  <si>
    <t>薬局マツモトキヨシ南大沢店</t>
    <rPh sb="0" eb="2">
      <t>ヤッキョク</t>
    </rPh>
    <rPh sb="9" eb="12">
      <t>ミナミオオサワ</t>
    </rPh>
    <rPh sb="12" eb="13">
      <t>テン</t>
    </rPh>
    <phoneticPr fontId="6"/>
  </si>
  <si>
    <t>八王子市南大沢５丁目14番地1</t>
    <rPh sb="0" eb="4">
      <t>ハチオウジシ</t>
    </rPh>
    <rPh sb="4" eb="7">
      <t>ミナミオオサワ</t>
    </rPh>
    <rPh sb="8" eb="10">
      <t>チョウメ</t>
    </rPh>
    <rPh sb="12" eb="14">
      <t>バンチ</t>
    </rPh>
    <phoneticPr fontId="6"/>
  </si>
  <si>
    <t>042-674-5007</t>
    <phoneticPr fontId="6"/>
  </si>
  <si>
    <t>株式会社マツモトキヨシ</t>
    <rPh sb="0" eb="1">
      <t>カブ</t>
    </rPh>
    <rPh sb="1" eb="4">
      <t>シキガイシャ</t>
    </rPh>
    <phoneticPr fontId="6"/>
  </si>
  <si>
    <t>270-8521</t>
  </si>
  <si>
    <t>千葉県松戸市新松戸東９番地1</t>
    <rPh sb="0" eb="3">
      <t>チバケン</t>
    </rPh>
    <rPh sb="3" eb="5">
      <t>マツド</t>
    </rPh>
    <rPh sb="5" eb="6">
      <t>シ</t>
    </rPh>
    <rPh sb="6" eb="9">
      <t>シンマツド</t>
    </rPh>
    <rPh sb="9" eb="10">
      <t>ヒガシ</t>
    </rPh>
    <rPh sb="11" eb="13">
      <t>バンチ</t>
    </rPh>
    <phoneticPr fontId="6"/>
  </si>
  <si>
    <t>小野　夏海</t>
    <rPh sb="0" eb="2">
      <t>オノ</t>
    </rPh>
    <rPh sb="3" eb="5">
      <t>ナツミ</t>
    </rPh>
    <phoneticPr fontId="6"/>
  </si>
  <si>
    <t>２八福障収第1374号</t>
    <rPh sb="1" eb="2">
      <t>ハチ</t>
    </rPh>
    <rPh sb="2" eb="3">
      <t>フク</t>
    </rPh>
    <rPh sb="3" eb="4">
      <t>サワ</t>
    </rPh>
    <rPh sb="4" eb="5">
      <t>シュウ</t>
    </rPh>
    <rPh sb="5" eb="6">
      <t>ダイ</t>
    </rPh>
    <rPh sb="10" eb="11">
      <t>ゴウ</t>
    </rPh>
    <phoneticPr fontId="6"/>
  </si>
  <si>
    <t>2-99</t>
    <phoneticPr fontId="6"/>
  </si>
  <si>
    <t>クリエイト薬局八王子小宮町店</t>
    <rPh sb="5" eb="7">
      <t>ヤッキョク</t>
    </rPh>
    <rPh sb="7" eb="10">
      <t>ハチオウジ</t>
    </rPh>
    <rPh sb="10" eb="13">
      <t>コミヤマチ</t>
    </rPh>
    <rPh sb="13" eb="14">
      <t>テン</t>
    </rPh>
    <phoneticPr fontId="6"/>
  </si>
  <si>
    <t>192-0031</t>
    <phoneticPr fontId="6"/>
  </si>
  <si>
    <t>八王子市小宮町844-2</t>
    <rPh sb="0" eb="4">
      <t>ハチオウジシ</t>
    </rPh>
    <rPh sb="4" eb="6">
      <t>コミヤ</t>
    </rPh>
    <rPh sb="6" eb="7">
      <t>マチ</t>
    </rPh>
    <phoneticPr fontId="5"/>
  </si>
  <si>
    <t>042-631-1824</t>
    <phoneticPr fontId="6"/>
  </si>
  <si>
    <t>栃尾　岳宏</t>
    <rPh sb="0" eb="2">
      <t>トチオ</t>
    </rPh>
    <rPh sb="3" eb="4">
      <t>ガク</t>
    </rPh>
    <rPh sb="4" eb="5">
      <t>ヒロ</t>
    </rPh>
    <phoneticPr fontId="6"/>
  </si>
  <si>
    <t>変更届（亀井　晨佑、～令和7年8月24日）</t>
    <rPh sb="0" eb="2">
      <t>ヘンコウ</t>
    </rPh>
    <rPh sb="2" eb="3">
      <t>トド</t>
    </rPh>
    <rPh sb="11" eb="13">
      <t>レイワ</t>
    </rPh>
    <rPh sb="14" eb="15">
      <t>トシ</t>
    </rPh>
    <rPh sb="16" eb="17">
      <t>ツキ</t>
    </rPh>
    <rPh sb="19" eb="20">
      <t>ヒ</t>
    </rPh>
    <phoneticPr fontId="5"/>
  </si>
  <si>
    <t>３八福障収第588号</t>
    <rPh sb="1" eb="2">
      <t>ハチ</t>
    </rPh>
    <rPh sb="2" eb="3">
      <t>フク</t>
    </rPh>
    <rPh sb="3" eb="4">
      <t>サワ</t>
    </rPh>
    <rPh sb="4" eb="5">
      <t>シュウ</t>
    </rPh>
    <rPh sb="5" eb="6">
      <t>ダイ</t>
    </rPh>
    <rPh sb="9" eb="10">
      <t>ゴウ</t>
    </rPh>
    <phoneticPr fontId="6"/>
  </si>
  <si>
    <t>2-100</t>
  </si>
  <si>
    <t>ダイエー西八王子店薬局</t>
    <rPh sb="4" eb="9">
      <t>ニシハチオウジテン</t>
    </rPh>
    <rPh sb="9" eb="11">
      <t>ヤッキョク</t>
    </rPh>
    <phoneticPr fontId="6"/>
  </si>
  <si>
    <t>八王子市千人町2丁目1番9号</t>
    <rPh sb="0" eb="4">
      <t>ハチオウジシ</t>
    </rPh>
    <rPh sb="4" eb="7">
      <t>センニンチョウ</t>
    </rPh>
    <rPh sb="8" eb="10">
      <t>チョウメ</t>
    </rPh>
    <rPh sb="11" eb="12">
      <t>バン</t>
    </rPh>
    <rPh sb="13" eb="14">
      <t>ゴウ</t>
    </rPh>
    <phoneticPr fontId="6"/>
  </si>
  <si>
    <t>042-663-9955</t>
    <phoneticPr fontId="6"/>
  </si>
  <si>
    <t>株式会社ダイエー</t>
    <rPh sb="0" eb="4">
      <t>カブシキガイシャ</t>
    </rPh>
    <phoneticPr fontId="6"/>
  </si>
  <si>
    <t>650-0046</t>
  </si>
  <si>
    <t>兵庫県神戸市中央区港島中町4丁目1番1</t>
    <rPh sb="0" eb="3">
      <t>ヒョウゴケン</t>
    </rPh>
    <rPh sb="3" eb="6">
      <t>コウベシ</t>
    </rPh>
    <rPh sb="6" eb="9">
      <t>チュウオウク</t>
    </rPh>
    <rPh sb="9" eb="10">
      <t>ミナト</t>
    </rPh>
    <rPh sb="10" eb="11">
      <t>シマ</t>
    </rPh>
    <rPh sb="11" eb="12">
      <t>ナカ</t>
    </rPh>
    <rPh sb="12" eb="13">
      <t>マチ</t>
    </rPh>
    <rPh sb="14" eb="16">
      <t>チョウメ</t>
    </rPh>
    <rPh sb="17" eb="18">
      <t>バン</t>
    </rPh>
    <phoneticPr fontId="6"/>
  </si>
  <si>
    <t>岡村　律子</t>
    <rPh sb="0" eb="2">
      <t>オカムラ</t>
    </rPh>
    <rPh sb="3" eb="5">
      <t>リツコ</t>
    </rPh>
    <phoneticPr fontId="6"/>
  </si>
  <si>
    <t>変更届{野口　裕太郎、～令和4年3月25日）</t>
    <rPh sb="0" eb="3">
      <t>ヘンコウトドケ</t>
    </rPh>
    <phoneticPr fontId="6"/>
  </si>
  <si>
    <t>３八福障収第856号</t>
    <rPh sb="1" eb="2">
      <t>ハチ</t>
    </rPh>
    <rPh sb="2" eb="3">
      <t>フク</t>
    </rPh>
    <rPh sb="3" eb="4">
      <t>サワ</t>
    </rPh>
    <rPh sb="4" eb="5">
      <t>シュウ</t>
    </rPh>
    <rPh sb="5" eb="6">
      <t>ダイ</t>
    </rPh>
    <rPh sb="9" eb="10">
      <t>ゴウ</t>
    </rPh>
    <phoneticPr fontId="6"/>
  </si>
  <si>
    <t>変更届(代表取締役　近藤　靖英→西峠　泰男)～令和４年４月２日）</t>
    <rPh sb="0" eb="2">
      <t>ヘンコウ</t>
    </rPh>
    <rPh sb="2" eb="3">
      <t>トドケ</t>
    </rPh>
    <rPh sb="4" eb="6">
      <t>ダイヒョウ</t>
    </rPh>
    <rPh sb="6" eb="9">
      <t>トリシマリヤク</t>
    </rPh>
    <rPh sb="10" eb="12">
      <t>コンドウ</t>
    </rPh>
    <rPh sb="13" eb="14">
      <t>ヤス</t>
    </rPh>
    <rPh sb="14" eb="15">
      <t>ヒデ</t>
    </rPh>
    <rPh sb="16" eb="17">
      <t>ニシ</t>
    </rPh>
    <rPh sb="17" eb="18">
      <t>トウゲ</t>
    </rPh>
    <rPh sb="19" eb="21">
      <t>ヤスオ</t>
    </rPh>
    <rPh sb="23" eb="25">
      <t>レイワ</t>
    </rPh>
    <rPh sb="26" eb="27">
      <t>ネン</t>
    </rPh>
    <rPh sb="28" eb="29">
      <t>ガツ</t>
    </rPh>
    <rPh sb="30" eb="31">
      <t>ニチ</t>
    </rPh>
    <phoneticPr fontId="6"/>
  </si>
  <si>
    <t>廃止届（令和8年2月10日廃止、閉局のため）</t>
    <rPh sb="0" eb="2">
      <t>ハイシ</t>
    </rPh>
    <rPh sb="2" eb="3">
      <t>トドケ</t>
    </rPh>
    <rPh sb="13" eb="15">
      <t>ハイシ</t>
    </rPh>
    <rPh sb="16" eb="18">
      <t>ヘイキョク</t>
    </rPh>
    <phoneticPr fontId="6"/>
  </si>
  <si>
    <t>2-101</t>
  </si>
  <si>
    <t>スギ薬局　西八王子店</t>
    <rPh sb="2" eb="4">
      <t>ヤッキョク</t>
    </rPh>
    <rPh sb="5" eb="9">
      <t>ニシハチオウジ</t>
    </rPh>
    <rPh sb="9" eb="10">
      <t>テン</t>
    </rPh>
    <phoneticPr fontId="6"/>
  </si>
  <si>
    <t>八王子市散田町3丁目17番1号</t>
    <rPh sb="0" eb="4">
      <t>ハチオウジシ</t>
    </rPh>
    <rPh sb="4" eb="7">
      <t>サンダマチ</t>
    </rPh>
    <rPh sb="8" eb="10">
      <t>チョウメ</t>
    </rPh>
    <rPh sb="12" eb="13">
      <t>バン</t>
    </rPh>
    <rPh sb="14" eb="15">
      <t>ゴウ</t>
    </rPh>
    <phoneticPr fontId="6"/>
  </si>
  <si>
    <t>042-673-5385</t>
    <phoneticPr fontId="6"/>
  </si>
  <si>
    <t>株式会社スギ薬局</t>
    <rPh sb="0" eb="4">
      <t>カブシキガイシャ</t>
    </rPh>
    <rPh sb="6" eb="8">
      <t>ヤッキョク</t>
    </rPh>
    <phoneticPr fontId="6"/>
  </si>
  <si>
    <t>舩田　俊平</t>
    <rPh sb="0" eb="2">
      <t>フナダ</t>
    </rPh>
    <rPh sb="3" eb="5">
      <t>シュンペイ</t>
    </rPh>
    <phoneticPr fontId="6"/>
  </si>
  <si>
    <t>変更届（神山　茂樹　～令和7年6月30日）</t>
    <rPh sb="14" eb="15">
      <t>ネン</t>
    </rPh>
    <phoneticPr fontId="6"/>
  </si>
  <si>
    <t>３八福障収第1070号</t>
    <rPh sb="1" eb="2">
      <t>ハチ</t>
    </rPh>
    <rPh sb="2" eb="3">
      <t>フク</t>
    </rPh>
    <rPh sb="3" eb="4">
      <t>サワ</t>
    </rPh>
    <rPh sb="4" eb="5">
      <t>シュウ</t>
    </rPh>
    <rPh sb="5" eb="6">
      <t>ダイ</t>
    </rPh>
    <rPh sb="10" eb="11">
      <t>ゴウ</t>
    </rPh>
    <phoneticPr fontId="6"/>
  </si>
  <si>
    <t>2-102</t>
  </si>
  <si>
    <t>クリエイト薬局八王子高嶺小学校前店</t>
    <rPh sb="5" eb="7">
      <t>ヤッキョク</t>
    </rPh>
    <rPh sb="7" eb="10">
      <t>ハチオウジ</t>
    </rPh>
    <rPh sb="10" eb="12">
      <t>タカネ</t>
    </rPh>
    <rPh sb="12" eb="15">
      <t>ショウガッコウ</t>
    </rPh>
    <rPh sb="15" eb="16">
      <t>マエ</t>
    </rPh>
    <rPh sb="16" eb="17">
      <t>テン</t>
    </rPh>
    <phoneticPr fontId="6"/>
  </si>
  <si>
    <t>八王子市北野台4-30-1</t>
    <rPh sb="0" eb="4">
      <t>ハチオウジシ</t>
    </rPh>
    <rPh sb="4" eb="7">
      <t>キタノダイ</t>
    </rPh>
    <phoneticPr fontId="6"/>
  </si>
  <si>
    <t>042-632-6051</t>
    <phoneticPr fontId="6"/>
  </si>
  <si>
    <t>永井　大樹</t>
    <rPh sb="0" eb="2">
      <t>ナガイ</t>
    </rPh>
    <rPh sb="3" eb="5">
      <t>ダイキ</t>
    </rPh>
    <phoneticPr fontId="6"/>
  </si>
  <si>
    <t>変更届（清水翔太　～令和7年8月10日）</t>
    <rPh sb="4" eb="6">
      <t>シミズ</t>
    </rPh>
    <rPh sb="6" eb="8">
      <t>ショウタ</t>
    </rPh>
    <phoneticPr fontId="6"/>
  </si>
  <si>
    <t>３八福障収第1095号</t>
    <rPh sb="1" eb="2">
      <t>ハチ</t>
    </rPh>
    <rPh sb="2" eb="3">
      <t>フク</t>
    </rPh>
    <rPh sb="3" eb="4">
      <t>サワ</t>
    </rPh>
    <rPh sb="4" eb="5">
      <t>シュウ</t>
    </rPh>
    <rPh sb="5" eb="6">
      <t>ダイ</t>
    </rPh>
    <rPh sb="10" eb="11">
      <t>ゴウ</t>
    </rPh>
    <phoneticPr fontId="6"/>
  </si>
  <si>
    <t>2-103</t>
    <phoneticPr fontId="6"/>
  </si>
  <si>
    <t>フロンティア薬局みなみ野店</t>
    <rPh sb="6" eb="8">
      <t>ヤッキョク</t>
    </rPh>
    <rPh sb="11" eb="12">
      <t>ノ</t>
    </rPh>
    <rPh sb="12" eb="13">
      <t>テン</t>
    </rPh>
    <phoneticPr fontId="6"/>
  </si>
  <si>
    <t>八王子市みなみ野４－１５－７</t>
    <rPh sb="0" eb="4">
      <t>ハチオウジシ</t>
    </rPh>
    <rPh sb="7" eb="8">
      <t>ノ</t>
    </rPh>
    <phoneticPr fontId="6"/>
  </si>
  <si>
    <t>042-632-8088</t>
    <phoneticPr fontId="6"/>
  </si>
  <si>
    <t>株式会社フロンティア</t>
    <rPh sb="0" eb="4">
      <t>カブシキガイシャ</t>
    </rPh>
    <phoneticPr fontId="6"/>
  </si>
  <si>
    <t>532-0003</t>
    <phoneticPr fontId="6"/>
  </si>
  <si>
    <t>大阪府大阪市淀川区宮原３－５－３６</t>
    <rPh sb="0" eb="3">
      <t>オオサカフ</t>
    </rPh>
    <rPh sb="3" eb="6">
      <t>オオサカシ</t>
    </rPh>
    <rPh sb="6" eb="9">
      <t>ヨドガワク</t>
    </rPh>
    <rPh sb="9" eb="11">
      <t>ミヤハラ</t>
    </rPh>
    <phoneticPr fontId="6"/>
  </si>
  <si>
    <t>山口　季見子</t>
    <rPh sb="0" eb="2">
      <t>ヤマグチ</t>
    </rPh>
    <rPh sb="3" eb="4">
      <t>キ</t>
    </rPh>
    <rPh sb="4" eb="5">
      <t>ミ</t>
    </rPh>
    <rPh sb="5" eb="6">
      <t>コ</t>
    </rPh>
    <phoneticPr fontId="6"/>
  </si>
  <si>
    <t>変更届(原田　真美～令和7年6月30日）</t>
    <rPh sb="0" eb="3">
      <t>ヘンコウトドケ</t>
    </rPh>
    <rPh sb="4" eb="6">
      <t>ハラダ</t>
    </rPh>
    <rPh sb="7" eb="9">
      <t>マミ</t>
    </rPh>
    <rPh sb="10" eb="12">
      <t>レイワ</t>
    </rPh>
    <rPh sb="13" eb="14">
      <t>ネン</t>
    </rPh>
    <rPh sb="15" eb="16">
      <t>ガツ</t>
    </rPh>
    <rPh sb="18" eb="19">
      <t>カ</t>
    </rPh>
    <phoneticPr fontId="6"/>
  </si>
  <si>
    <t>３八福障収第1529号</t>
    <rPh sb="1" eb="2">
      <t>ハチ</t>
    </rPh>
    <rPh sb="2" eb="3">
      <t>フク</t>
    </rPh>
    <rPh sb="3" eb="4">
      <t>サワ</t>
    </rPh>
    <rPh sb="4" eb="5">
      <t>シュウ</t>
    </rPh>
    <rPh sb="5" eb="6">
      <t>ダイ</t>
    </rPh>
    <rPh sb="10" eb="11">
      <t>ゴウ</t>
    </rPh>
    <phoneticPr fontId="6"/>
  </si>
  <si>
    <t>2-104</t>
    <phoneticPr fontId="6"/>
  </si>
  <si>
    <t>アーク調剤薬局八王子高倉店</t>
    <rPh sb="3" eb="5">
      <t>チョウザイ</t>
    </rPh>
    <rPh sb="5" eb="7">
      <t>ヤッキョク</t>
    </rPh>
    <rPh sb="7" eb="10">
      <t>ハチオウジ</t>
    </rPh>
    <rPh sb="10" eb="12">
      <t>タカクラ</t>
    </rPh>
    <rPh sb="12" eb="13">
      <t>テン</t>
    </rPh>
    <phoneticPr fontId="6"/>
  </si>
  <si>
    <t>192-0033</t>
    <phoneticPr fontId="6"/>
  </si>
  <si>
    <t>八王子市高倉町３６－１</t>
    <rPh sb="0" eb="4">
      <t>ハチオウジシ</t>
    </rPh>
    <rPh sb="4" eb="6">
      <t>タカクラ</t>
    </rPh>
    <rPh sb="6" eb="7">
      <t>マチ</t>
    </rPh>
    <phoneticPr fontId="6"/>
  </si>
  <si>
    <t>042-649-9317</t>
    <phoneticPr fontId="6"/>
  </si>
  <si>
    <t>株式会社コネクト</t>
    <rPh sb="0" eb="4">
      <t>カブシキガイシャ</t>
    </rPh>
    <phoneticPr fontId="6"/>
  </si>
  <si>
    <t>191-0062</t>
    <phoneticPr fontId="6"/>
  </si>
  <si>
    <t>東京都日野市多摩平６ー４３－３</t>
    <rPh sb="0" eb="6">
      <t>トウキョウトヒノシ</t>
    </rPh>
    <rPh sb="6" eb="9">
      <t>タマダイラ</t>
    </rPh>
    <phoneticPr fontId="6"/>
  </si>
  <si>
    <t>三浦　敏秀</t>
    <rPh sb="0" eb="2">
      <t>ミウラ</t>
    </rPh>
    <rPh sb="3" eb="5">
      <t>トシヒデ</t>
    </rPh>
    <phoneticPr fontId="6"/>
  </si>
  <si>
    <t>３八福障収第1422号</t>
    <rPh sb="1" eb="2">
      <t>ハチ</t>
    </rPh>
    <rPh sb="2" eb="3">
      <t>フク</t>
    </rPh>
    <rPh sb="3" eb="4">
      <t>サワ</t>
    </rPh>
    <rPh sb="4" eb="5">
      <t>シュウ</t>
    </rPh>
    <rPh sb="5" eb="6">
      <t>ダイ</t>
    </rPh>
    <rPh sb="10" eb="11">
      <t>ゴウ</t>
    </rPh>
    <phoneticPr fontId="6"/>
  </si>
  <si>
    <t>変更届（開設者：株式会社アークメディカル、代表取締役　一瀬　康弘→株式会社コネクト、代表取締役　石井　志武、開設者住所：山梨県甲府市向町259番地１→東京都日野市多摩平６－43－３、医療機関コード：2955854→2956092）変更日：令和6年4月1日</t>
    <rPh sb="0" eb="3">
      <t>ヘンコウトドケ</t>
    </rPh>
    <rPh sb="8" eb="12">
      <t>カブシキカイシャ</t>
    </rPh>
    <rPh sb="21" eb="26">
      <t>ダイヒョウトリシマリヤク</t>
    </rPh>
    <rPh sb="27" eb="28">
      <t>イチ</t>
    </rPh>
    <rPh sb="28" eb="29">
      <t>セ</t>
    </rPh>
    <rPh sb="30" eb="32">
      <t>ヤスヒロ</t>
    </rPh>
    <rPh sb="33" eb="37">
      <t>カブシキカイシャ</t>
    </rPh>
    <rPh sb="42" eb="47">
      <t>ダイヒョウトリシマリヤク</t>
    </rPh>
    <rPh sb="48" eb="50">
      <t>イシイ</t>
    </rPh>
    <rPh sb="51" eb="52">
      <t>ココロザシ</t>
    </rPh>
    <rPh sb="52" eb="53">
      <t>タケ</t>
    </rPh>
    <rPh sb="54" eb="59">
      <t>カイセツシャジュウショ</t>
    </rPh>
    <rPh sb="60" eb="66">
      <t>ヤマナシケンコウフシ</t>
    </rPh>
    <rPh sb="91" eb="95">
      <t>イリョウキカン</t>
    </rPh>
    <rPh sb="115" eb="118">
      <t>ヘンコウビ</t>
    </rPh>
    <rPh sb="119" eb="121">
      <t>レイワ</t>
    </rPh>
    <rPh sb="122" eb="123">
      <t>ネン</t>
    </rPh>
    <rPh sb="124" eb="125">
      <t>ガツ</t>
    </rPh>
    <rPh sb="126" eb="127">
      <t>ニチ</t>
    </rPh>
    <phoneticPr fontId="6"/>
  </si>
  <si>
    <t>2-105</t>
    <phoneticPr fontId="6"/>
  </si>
  <si>
    <t>しんわ薬局　横川店</t>
    <rPh sb="3" eb="5">
      <t>ヤッキョク</t>
    </rPh>
    <rPh sb="6" eb="8">
      <t>ヨコカワ</t>
    </rPh>
    <rPh sb="8" eb="9">
      <t>テン</t>
    </rPh>
    <phoneticPr fontId="6"/>
  </si>
  <si>
    <t>193-0823</t>
    <phoneticPr fontId="6"/>
  </si>
  <si>
    <t>八王子市横川町５４９－２１</t>
    <rPh sb="0" eb="4">
      <t>ハチオウジシ</t>
    </rPh>
    <rPh sb="4" eb="7">
      <t>ヨコカワマチ</t>
    </rPh>
    <phoneticPr fontId="6"/>
  </si>
  <si>
    <t>042-627-1189</t>
    <phoneticPr fontId="6"/>
  </si>
  <si>
    <t>株式会社メディックス</t>
    <rPh sb="0" eb="4">
      <t>カブシキガイシャ</t>
    </rPh>
    <phoneticPr fontId="6"/>
  </si>
  <si>
    <t>192-0063</t>
    <phoneticPr fontId="6"/>
  </si>
  <si>
    <t>八王子市元横山町1-2-3</t>
    <rPh sb="0" eb="4">
      <t>ハチオウジシ</t>
    </rPh>
    <rPh sb="4" eb="8">
      <t>モトヨコヤママチ</t>
    </rPh>
    <phoneticPr fontId="6"/>
  </si>
  <si>
    <t>遠藤　裕太</t>
    <rPh sb="0" eb="2">
      <t>エンドウ</t>
    </rPh>
    <rPh sb="3" eb="5">
      <t>ユウタ</t>
    </rPh>
    <phoneticPr fontId="6"/>
  </si>
  <si>
    <t>変更届{加藤　睦深　～令和6年6月30日）</t>
    <rPh sb="0" eb="3">
      <t>ヘンコウトドケ</t>
    </rPh>
    <phoneticPr fontId="6"/>
  </si>
  <si>
    <t>３八福障収第1405号</t>
    <rPh sb="1" eb="2">
      <t>ハチ</t>
    </rPh>
    <rPh sb="2" eb="3">
      <t>フク</t>
    </rPh>
    <rPh sb="3" eb="4">
      <t>サワ</t>
    </rPh>
    <rPh sb="4" eb="5">
      <t>シュウ</t>
    </rPh>
    <rPh sb="5" eb="6">
      <t>ダイ</t>
    </rPh>
    <rPh sb="10" eb="11">
      <t>ゴウ</t>
    </rPh>
    <phoneticPr fontId="6"/>
  </si>
  <si>
    <t>変更届（薬局名称（サクラ薬局→）開設者住所（東京都調布市下石原3-40-8→）～令和4年8月30日）</t>
    <rPh sb="0" eb="3">
      <t>ヘンコウトドケ</t>
    </rPh>
    <rPh sb="4" eb="6">
      <t>ヤッキョク</t>
    </rPh>
    <rPh sb="6" eb="8">
      <t>メイショウ</t>
    </rPh>
    <rPh sb="12" eb="14">
      <t>ヤッキョク</t>
    </rPh>
    <rPh sb="16" eb="18">
      <t>カイセツ</t>
    </rPh>
    <rPh sb="18" eb="19">
      <t>シャ</t>
    </rPh>
    <rPh sb="19" eb="21">
      <t>ジュウショ</t>
    </rPh>
    <rPh sb="22" eb="25">
      <t>トウキョウト</t>
    </rPh>
    <rPh sb="25" eb="27">
      <t>チョウフ</t>
    </rPh>
    <rPh sb="27" eb="28">
      <t>シ</t>
    </rPh>
    <rPh sb="28" eb="29">
      <t>シモ</t>
    </rPh>
    <rPh sb="29" eb="31">
      <t>イシハラ</t>
    </rPh>
    <rPh sb="40" eb="42">
      <t>レイワ</t>
    </rPh>
    <rPh sb="43" eb="44">
      <t>ネン</t>
    </rPh>
    <rPh sb="45" eb="46">
      <t>ガツ</t>
    </rPh>
    <rPh sb="48" eb="49">
      <t>ニチ</t>
    </rPh>
    <phoneticPr fontId="6"/>
  </si>
  <si>
    <t>2-106</t>
    <phoneticPr fontId="6"/>
  </si>
  <si>
    <t>ウエルシア薬局八王子駅北口店</t>
    <rPh sb="5" eb="7">
      <t>ヤッキョク</t>
    </rPh>
    <rPh sb="7" eb="10">
      <t>ハチオウジ</t>
    </rPh>
    <rPh sb="10" eb="11">
      <t>エキ</t>
    </rPh>
    <rPh sb="11" eb="13">
      <t>キタグチ</t>
    </rPh>
    <rPh sb="13" eb="14">
      <t>テン</t>
    </rPh>
    <phoneticPr fontId="6"/>
  </si>
  <si>
    <t>八王子市東町7-6 1F</t>
    <rPh sb="0" eb="3">
      <t>ハチオウジ</t>
    </rPh>
    <rPh sb="3" eb="4">
      <t>シ</t>
    </rPh>
    <rPh sb="4" eb="5">
      <t>ヒガシ</t>
    </rPh>
    <rPh sb="5" eb="6">
      <t>マチ</t>
    </rPh>
    <phoneticPr fontId="6"/>
  </si>
  <si>
    <t>042-631-8615</t>
    <phoneticPr fontId="6"/>
  </si>
  <si>
    <t>東京都千代田区外神田二丁目2番15号</t>
    <rPh sb="0" eb="3">
      <t>トウキョウト</t>
    </rPh>
    <rPh sb="3" eb="7">
      <t>チヨダク</t>
    </rPh>
    <rPh sb="7" eb="10">
      <t>ソトカンダ</t>
    </rPh>
    <rPh sb="10" eb="13">
      <t>2チョウメ</t>
    </rPh>
    <rPh sb="14" eb="15">
      <t>バン</t>
    </rPh>
    <rPh sb="17" eb="18">
      <t>ゴウ</t>
    </rPh>
    <phoneticPr fontId="6"/>
  </si>
  <si>
    <t>宇山　芳子</t>
    <rPh sb="0" eb="2">
      <t>ウヤマ</t>
    </rPh>
    <rPh sb="3" eb="5">
      <t>ヨシコ</t>
    </rPh>
    <phoneticPr fontId="6"/>
  </si>
  <si>
    <t>３八福障収第1627号</t>
    <rPh sb="1" eb="2">
      <t>ハチ</t>
    </rPh>
    <rPh sb="2" eb="3">
      <t>フク</t>
    </rPh>
    <rPh sb="3" eb="4">
      <t>ショウ</t>
    </rPh>
    <rPh sb="4" eb="5">
      <t>シュウ</t>
    </rPh>
    <rPh sb="5" eb="6">
      <t>ダイ</t>
    </rPh>
    <rPh sb="10" eb="11">
      <t>ゴウ</t>
    </rPh>
    <phoneticPr fontId="6"/>
  </si>
  <si>
    <t>変更届(代表取締役　松本忠久→田中純一)、～令和５年３月１日）</t>
    <rPh sb="10" eb="12">
      <t>マツモト</t>
    </rPh>
    <rPh sb="12" eb="14">
      <t>タダヒサ</t>
    </rPh>
    <rPh sb="15" eb="17">
      <t>タナカ</t>
    </rPh>
    <rPh sb="17" eb="19">
      <t>ジュンイチ</t>
    </rPh>
    <phoneticPr fontId="6"/>
  </si>
  <si>
    <t>　</t>
    <phoneticPr fontId="6"/>
  </si>
  <si>
    <t>2-107</t>
    <phoneticPr fontId="6"/>
  </si>
  <si>
    <t>別所薬局</t>
    <rPh sb="0" eb="4">
      <t>ベッショヤッキョク</t>
    </rPh>
    <phoneticPr fontId="6"/>
  </si>
  <si>
    <t>八王子市別所一丁目17番地1</t>
    <rPh sb="0" eb="4">
      <t>ハチオウジシ</t>
    </rPh>
    <rPh sb="4" eb="6">
      <t>ベッショ</t>
    </rPh>
    <rPh sb="6" eb="9">
      <t>1チョウメ</t>
    </rPh>
    <rPh sb="11" eb="13">
      <t>バンチ</t>
    </rPh>
    <phoneticPr fontId="6"/>
  </si>
  <si>
    <t>042-676-9055</t>
    <phoneticPr fontId="6"/>
  </si>
  <si>
    <t>アイ・ハピネス株式会社</t>
    <rPh sb="7" eb="11">
      <t>カブシキガイシャ</t>
    </rPh>
    <phoneticPr fontId="6"/>
  </si>
  <si>
    <t>190-0004</t>
    <phoneticPr fontId="6"/>
  </si>
  <si>
    <t>東京都立川市柏町4丁目61番地4</t>
    <rPh sb="0" eb="3">
      <t>トウキョウト</t>
    </rPh>
    <rPh sb="3" eb="5">
      <t>タチカワ</t>
    </rPh>
    <rPh sb="5" eb="6">
      <t>シ</t>
    </rPh>
    <rPh sb="6" eb="7">
      <t>カシワ</t>
    </rPh>
    <rPh sb="7" eb="8">
      <t>マチ</t>
    </rPh>
    <rPh sb="9" eb="11">
      <t>チョウメ</t>
    </rPh>
    <rPh sb="13" eb="15">
      <t>バンチ</t>
    </rPh>
    <phoneticPr fontId="6"/>
  </si>
  <si>
    <t>樋本　慶</t>
    <rPh sb="0" eb="2">
      <t>ヒノモト</t>
    </rPh>
    <rPh sb="3" eb="4">
      <t>ケイ</t>
    </rPh>
    <phoneticPr fontId="6"/>
  </si>
  <si>
    <t>変更届(見上　倫子、～令和7年5月31日）</t>
    <rPh sb="4" eb="6">
      <t>ミカミ</t>
    </rPh>
    <rPh sb="7" eb="9">
      <t>リンコ</t>
    </rPh>
    <phoneticPr fontId="6"/>
  </si>
  <si>
    <t>４八福障収第218号</t>
    <rPh sb="1" eb="2">
      <t>ハチ</t>
    </rPh>
    <rPh sb="2" eb="3">
      <t>フク</t>
    </rPh>
    <rPh sb="3" eb="4">
      <t>ショウ</t>
    </rPh>
    <rPh sb="4" eb="5">
      <t>シュウ</t>
    </rPh>
    <rPh sb="5" eb="6">
      <t>ダイ</t>
    </rPh>
    <rPh sb="9" eb="10">
      <t>ゴウ</t>
    </rPh>
    <phoneticPr fontId="6"/>
  </si>
  <si>
    <t>2-108</t>
    <phoneticPr fontId="6"/>
  </si>
  <si>
    <t>ウエルシア薬局八王子椚田店</t>
    <rPh sb="10" eb="12">
      <t>クヌギダ</t>
    </rPh>
    <phoneticPr fontId="6"/>
  </si>
  <si>
    <t>193-0942</t>
    <phoneticPr fontId="6"/>
  </si>
  <si>
    <t>八王子市椚田町72-1</t>
    <rPh sb="0" eb="4">
      <t>ハチオウジシ</t>
    </rPh>
    <rPh sb="4" eb="7">
      <t>クヌギダマチ</t>
    </rPh>
    <phoneticPr fontId="6"/>
  </si>
  <si>
    <t>042-668-8708</t>
    <phoneticPr fontId="6"/>
  </si>
  <si>
    <t>佐藤　和久</t>
    <rPh sb="0" eb="2">
      <t>サトウ</t>
    </rPh>
    <rPh sb="3" eb="5">
      <t>カズヒサ</t>
    </rPh>
    <phoneticPr fontId="6"/>
  </si>
  <si>
    <t>変更届（印南　恵理子、～令和7年10月10日）</t>
    <rPh sb="0" eb="3">
      <t>ヘンコウトドケ</t>
    </rPh>
    <rPh sb="4" eb="6">
      <t>インナミ</t>
    </rPh>
    <rPh sb="7" eb="10">
      <t>エリコ</t>
    </rPh>
    <rPh sb="12" eb="14">
      <t>レイワ</t>
    </rPh>
    <rPh sb="15" eb="16">
      <t>ネン</t>
    </rPh>
    <rPh sb="18" eb="19">
      <t>ガツ</t>
    </rPh>
    <rPh sb="21" eb="22">
      <t>ニチ</t>
    </rPh>
    <phoneticPr fontId="6"/>
  </si>
  <si>
    <t>３八福障収第1589号</t>
    <rPh sb="1" eb="2">
      <t>ハチ</t>
    </rPh>
    <rPh sb="2" eb="3">
      <t>フク</t>
    </rPh>
    <rPh sb="3" eb="4">
      <t>ショウ</t>
    </rPh>
    <rPh sb="4" eb="5">
      <t>シュウ</t>
    </rPh>
    <rPh sb="5" eb="6">
      <t>ダイ</t>
    </rPh>
    <rPh sb="10" eb="11">
      <t>ゴウ</t>
    </rPh>
    <phoneticPr fontId="6"/>
  </si>
  <si>
    <t>2-109</t>
    <phoneticPr fontId="6"/>
  </si>
  <si>
    <t>スギ薬局　八王子片倉店</t>
  </si>
  <si>
    <t>八王子市片倉町451番地２</t>
  </si>
  <si>
    <t>042-683-2657</t>
  </si>
  <si>
    <t>伊藤　真理子</t>
    <rPh sb="0" eb="2">
      <t>イトウ</t>
    </rPh>
    <rPh sb="3" eb="6">
      <t>マリコ</t>
    </rPh>
    <phoneticPr fontId="6"/>
  </si>
  <si>
    <t>変更届（三浦　舞子、～令和6年7月31日）</t>
    <rPh sb="4" eb="6">
      <t>ミウラ</t>
    </rPh>
    <rPh sb="7" eb="9">
      <t>マイコ</t>
    </rPh>
    <phoneticPr fontId="6"/>
  </si>
  <si>
    <t>４八福障収第1013号</t>
    <rPh sb="1" eb="2">
      <t>ハチ</t>
    </rPh>
    <rPh sb="2" eb="3">
      <t>フク</t>
    </rPh>
    <rPh sb="3" eb="4">
      <t>サワ</t>
    </rPh>
    <rPh sb="4" eb="5">
      <t>シュウ</t>
    </rPh>
    <rPh sb="5" eb="6">
      <t>ダイ</t>
    </rPh>
    <rPh sb="10" eb="11">
      <t>ゴウ</t>
    </rPh>
    <phoneticPr fontId="6"/>
  </si>
  <si>
    <t>2-110</t>
  </si>
  <si>
    <t>てぃーだ薬局</t>
  </si>
  <si>
    <t>111-0036</t>
  </si>
  <si>
    <t>八王子市松が谷11番地５-101</t>
  </si>
  <si>
    <t>042-689-5312</t>
  </si>
  <si>
    <t>有限会社ノベライズ社</t>
    <rPh sb="0" eb="4">
      <t>ユウゲンガイシャ</t>
    </rPh>
    <rPh sb="9" eb="10">
      <t>シャ</t>
    </rPh>
    <phoneticPr fontId="6"/>
  </si>
  <si>
    <t>194-0004</t>
  </si>
  <si>
    <t>東京都町田市鶴間２丁目６番地４</t>
    <rPh sb="0" eb="3">
      <t>トウキョウト</t>
    </rPh>
    <rPh sb="3" eb="6">
      <t>マチダシ</t>
    </rPh>
    <rPh sb="6" eb="8">
      <t>ツルマ</t>
    </rPh>
    <rPh sb="9" eb="11">
      <t>チョウメ</t>
    </rPh>
    <rPh sb="12" eb="14">
      <t>バンチ</t>
    </rPh>
    <phoneticPr fontId="6"/>
  </si>
  <si>
    <t>鈴木　育子</t>
    <rPh sb="0" eb="2">
      <t>スズキ</t>
    </rPh>
    <rPh sb="3" eb="5">
      <t>イクコ</t>
    </rPh>
    <phoneticPr fontId="6"/>
  </si>
  <si>
    <t>４八福障収第1034号</t>
    <rPh sb="1" eb="2">
      <t>ハチ</t>
    </rPh>
    <rPh sb="2" eb="3">
      <t>フク</t>
    </rPh>
    <rPh sb="3" eb="4">
      <t>サワ</t>
    </rPh>
    <rPh sb="4" eb="5">
      <t>シュウ</t>
    </rPh>
    <rPh sb="5" eb="6">
      <t>ダイ</t>
    </rPh>
    <rPh sb="10" eb="11">
      <t>ゴウ</t>
    </rPh>
    <phoneticPr fontId="6"/>
  </si>
  <si>
    <t>2-111</t>
  </si>
  <si>
    <t>ノムラ薬局　北野店</t>
  </si>
  <si>
    <t>八王子市打越町２００１－３ シエルド１０２号</t>
  </si>
  <si>
    <t>042-683-2958</t>
  </si>
  <si>
    <t>東京都日野市豊田３ー３２－４</t>
    <rPh sb="0" eb="3">
      <t>トウキョウト</t>
    </rPh>
    <rPh sb="3" eb="5">
      <t>ヒノ</t>
    </rPh>
    <rPh sb="5" eb="6">
      <t>シ</t>
    </rPh>
    <rPh sb="6" eb="8">
      <t>トヨダ</t>
    </rPh>
    <phoneticPr fontId="6"/>
  </si>
  <si>
    <t>笹本　尚広</t>
    <rPh sb="0" eb="2">
      <t>ササモト</t>
    </rPh>
    <rPh sb="3" eb="4">
      <t>ナオ</t>
    </rPh>
    <rPh sb="4" eb="5">
      <t>ヒロシ</t>
    </rPh>
    <phoneticPr fontId="6"/>
  </si>
  <si>
    <t>４八福障収第1041号</t>
    <rPh sb="1" eb="2">
      <t>ハチ</t>
    </rPh>
    <rPh sb="2" eb="3">
      <t>フク</t>
    </rPh>
    <rPh sb="3" eb="4">
      <t>サワ</t>
    </rPh>
    <rPh sb="4" eb="5">
      <t>シュウ</t>
    </rPh>
    <rPh sb="5" eb="6">
      <t>ダイ</t>
    </rPh>
    <rPh sb="10" eb="11">
      <t>ゴウ</t>
    </rPh>
    <phoneticPr fontId="6"/>
  </si>
  <si>
    <t>2-112</t>
  </si>
  <si>
    <t>とらお薬局</t>
  </si>
  <si>
    <t>193-0815</t>
  </si>
  <si>
    <t>八王子市叶谷町1762-12</t>
  </si>
  <si>
    <t>042-620-6901</t>
  </si>
  <si>
    <t>株式会社あみ</t>
    <rPh sb="0" eb="4">
      <t>カブシキガイシャ</t>
    </rPh>
    <phoneticPr fontId="6"/>
  </si>
  <si>
    <t>311-4153</t>
  </si>
  <si>
    <t>茨城県水戸市河和田１１１０－３</t>
    <rPh sb="0" eb="3">
      <t>イバラキケン</t>
    </rPh>
    <rPh sb="3" eb="6">
      <t>ミトシ</t>
    </rPh>
    <rPh sb="6" eb="8">
      <t>カワワ</t>
    </rPh>
    <rPh sb="8" eb="9">
      <t>タ</t>
    </rPh>
    <phoneticPr fontId="6"/>
  </si>
  <si>
    <t>廣木　潤一</t>
    <rPh sb="0" eb="2">
      <t>ヒロキ</t>
    </rPh>
    <rPh sb="3" eb="5">
      <t>ジュンイチ</t>
    </rPh>
    <phoneticPr fontId="6"/>
  </si>
  <si>
    <t>４八福障収第1033号</t>
    <rPh sb="1" eb="2">
      <t>ハチ</t>
    </rPh>
    <rPh sb="2" eb="3">
      <t>フク</t>
    </rPh>
    <rPh sb="3" eb="4">
      <t>サワ</t>
    </rPh>
    <rPh sb="4" eb="5">
      <t>シュウ</t>
    </rPh>
    <rPh sb="5" eb="6">
      <t>ダイ</t>
    </rPh>
    <rPh sb="10" eb="11">
      <t>ゴウ</t>
    </rPh>
    <phoneticPr fontId="6"/>
  </si>
  <si>
    <t>2-113</t>
  </si>
  <si>
    <t>クオール薬局　イーアス高尾店</t>
    <rPh sb="4" eb="6">
      <t>ヤッキョク</t>
    </rPh>
    <rPh sb="11" eb="14">
      <t>タカオテン</t>
    </rPh>
    <phoneticPr fontId="5"/>
  </si>
  <si>
    <t>193-0834</t>
    <phoneticPr fontId="6"/>
  </si>
  <si>
    <t>24八王子市</t>
    <phoneticPr fontId="6"/>
  </si>
  <si>
    <t>八王子市東浅川町550-1　イーアス高尾１階</t>
    <rPh sb="0" eb="4">
      <t>ハチオウジシ</t>
    </rPh>
    <rPh sb="4" eb="8">
      <t>ヒガシアサカワマチ</t>
    </rPh>
    <rPh sb="18" eb="20">
      <t>タカオ</t>
    </rPh>
    <rPh sb="21" eb="22">
      <t>カイ</t>
    </rPh>
    <phoneticPr fontId="6"/>
  </si>
  <si>
    <t>042-664-2089</t>
    <phoneticPr fontId="6"/>
  </si>
  <si>
    <t>髙橋　紀章</t>
    <rPh sb="0" eb="2">
      <t>タカハシ</t>
    </rPh>
    <rPh sb="3" eb="5">
      <t>ノリアキ</t>
    </rPh>
    <phoneticPr fontId="6"/>
  </si>
  <si>
    <t>変更届（有間　光成、　～令和6年1月31日）</t>
    <phoneticPr fontId="6"/>
  </si>
  <si>
    <t>４八福障収第1294</t>
    <phoneticPr fontId="6"/>
  </si>
  <si>
    <t>2-114</t>
  </si>
  <si>
    <t>スギ薬局　八王子八木町店</t>
    <rPh sb="2" eb="4">
      <t>ヤッキョク</t>
    </rPh>
    <rPh sb="5" eb="8">
      <t>ハチオウジ</t>
    </rPh>
    <rPh sb="8" eb="12">
      <t>ヤギマチテン</t>
    </rPh>
    <phoneticPr fontId="6"/>
  </si>
  <si>
    <t>192-0055</t>
    <phoneticPr fontId="6"/>
  </si>
  <si>
    <t>八王子市八木町5-4</t>
    <rPh sb="0" eb="4">
      <t>ハチオウジシ</t>
    </rPh>
    <rPh sb="4" eb="7">
      <t>ヤギマチ</t>
    </rPh>
    <phoneticPr fontId="6"/>
  </si>
  <si>
    <t>042-649-7847</t>
    <phoneticPr fontId="6"/>
  </si>
  <si>
    <t>三枝　望</t>
    <rPh sb="0" eb="2">
      <t>ミエダ</t>
    </rPh>
    <rPh sb="3" eb="4">
      <t>ノゾミ</t>
    </rPh>
    <phoneticPr fontId="6"/>
  </si>
  <si>
    <t>変更届（山中　和也、～令和7年10月31日）</t>
    <rPh sb="4" eb="6">
      <t>ヤマナカ</t>
    </rPh>
    <rPh sb="7" eb="9">
      <t>カズヤ</t>
    </rPh>
    <phoneticPr fontId="6"/>
  </si>
  <si>
    <t>４八福障収第1373号</t>
    <phoneticPr fontId="6"/>
  </si>
  <si>
    <t>2-115</t>
    <phoneticPr fontId="6"/>
  </si>
  <si>
    <t>中山薬局　西八王子駅前店</t>
    <phoneticPr fontId="6"/>
  </si>
  <si>
    <t>八王子市千人町２－20－３　１階</t>
  </si>
  <si>
    <t>042-673-5163</t>
    <phoneticPr fontId="6"/>
  </si>
  <si>
    <t>有限会社中山薬局</t>
    <rPh sb="0" eb="4">
      <t>ユウゲンガイシャ</t>
    </rPh>
    <phoneticPr fontId="6"/>
  </si>
  <si>
    <t>193-0943</t>
    <phoneticPr fontId="6"/>
  </si>
  <si>
    <t>東京都八王子市寺田町４３２　グリーンヒル寺田１０１・２０２</t>
    <rPh sb="0" eb="3">
      <t>トウキョウト</t>
    </rPh>
    <rPh sb="3" eb="7">
      <t>ハチオウジシ</t>
    </rPh>
    <rPh sb="7" eb="9">
      <t>テラダ</t>
    </rPh>
    <rPh sb="9" eb="10">
      <t>マチ</t>
    </rPh>
    <rPh sb="20" eb="22">
      <t>テラダ</t>
    </rPh>
    <phoneticPr fontId="6"/>
  </si>
  <si>
    <t>佐々木　通</t>
    <rPh sb="0" eb="3">
      <t>ササキ</t>
    </rPh>
    <rPh sb="4" eb="5">
      <t>トオル</t>
    </rPh>
    <phoneticPr fontId="6"/>
  </si>
  <si>
    <t>５八福障第1095号</t>
    <phoneticPr fontId="6"/>
  </si>
  <si>
    <t>2-116</t>
    <phoneticPr fontId="6"/>
  </si>
  <si>
    <t>薬局マツモトキヨシ　フォルテ八王子店</t>
    <rPh sb="0" eb="2">
      <t>ヤッキョク</t>
    </rPh>
    <rPh sb="14" eb="17">
      <t>ハチオウジ</t>
    </rPh>
    <rPh sb="17" eb="18">
      <t>テン</t>
    </rPh>
    <phoneticPr fontId="6"/>
  </si>
  <si>
    <t>八王子市楢原町1463-1</t>
    <rPh sb="0" eb="4">
      <t>ハチオウジシ</t>
    </rPh>
    <rPh sb="4" eb="7">
      <t>ナラハラマチ</t>
    </rPh>
    <phoneticPr fontId="6"/>
  </si>
  <si>
    <t>042-686-2063</t>
    <phoneticPr fontId="6"/>
  </si>
  <si>
    <t>中村　悠人</t>
    <rPh sb="0" eb="2">
      <t>ナカムラ</t>
    </rPh>
    <rPh sb="3" eb="4">
      <t>ユウ</t>
    </rPh>
    <rPh sb="4" eb="5">
      <t>ヒト</t>
    </rPh>
    <phoneticPr fontId="6"/>
  </si>
  <si>
    <t>５八福障第3758号</t>
    <rPh sb="1" eb="2">
      <t>ハチ</t>
    </rPh>
    <rPh sb="2" eb="3">
      <t>フク</t>
    </rPh>
    <rPh sb="3" eb="4">
      <t>サワ</t>
    </rPh>
    <rPh sb="4" eb="5">
      <t>ダイ</t>
    </rPh>
    <rPh sb="9" eb="10">
      <t>ゴウ</t>
    </rPh>
    <phoneticPr fontId="6"/>
  </si>
  <si>
    <t>2-117</t>
    <phoneticPr fontId="6"/>
  </si>
  <si>
    <t>スギ薬局　八王子散田町店</t>
    <rPh sb="2" eb="4">
      <t>ヤッキョク</t>
    </rPh>
    <rPh sb="5" eb="12">
      <t>ハチオウジサンダマチテン</t>
    </rPh>
    <phoneticPr fontId="6"/>
  </si>
  <si>
    <t>八王子市散田町5丁目16番1号</t>
    <rPh sb="0" eb="4">
      <t>ハチオウジシ</t>
    </rPh>
    <rPh sb="4" eb="7">
      <t>サンダマチ</t>
    </rPh>
    <rPh sb="8" eb="10">
      <t>チョウメ</t>
    </rPh>
    <rPh sb="12" eb="13">
      <t>バン</t>
    </rPh>
    <rPh sb="14" eb="15">
      <t>ゴウ</t>
    </rPh>
    <phoneticPr fontId="6"/>
  </si>
  <si>
    <t>042-673-7896</t>
    <phoneticPr fontId="6"/>
  </si>
  <si>
    <t>山口　華佳</t>
    <rPh sb="0" eb="2">
      <t>ヤマグチ</t>
    </rPh>
    <rPh sb="3" eb="4">
      <t>ハナ</t>
    </rPh>
    <rPh sb="4" eb="5">
      <t>ケイ</t>
    </rPh>
    <phoneticPr fontId="6"/>
  </si>
  <si>
    <t>５八福障第3758号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6"/>
  </si>
  <si>
    <t>2-118</t>
    <phoneticPr fontId="6"/>
  </si>
  <si>
    <t>加藤薬局　天神町店</t>
    <rPh sb="0" eb="2">
      <t>カトウ</t>
    </rPh>
    <rPh sb="2" eb="4">
      <t>ヤッキョク</t>
    </rPh>
    <rPh sb="5" eb="8">
      <t>テンジンチョウ</t>
    </rPh>
    <rPh sb="8" eb="9">
      <t>テン</t>
    </rPh>
    <phoneticPr fontId="6"/>
  </si>
  <si>
    <t>192-0074</t>
    <phoneticPr fontId="6"/>
  </si>
  <si>
    <t>八王子市天神町24-３　プラムフィールド102</t>
    <rPh sb="0" eb="4">
      <t>ハチオウジシ</t>
    </rPh>
    <rPh sb="4" eb="7">
      <t>テンジンチョウ</t>
    </rPh>
    <phoneticPr fontId="6"/>
  </si>
  <si>
    <t>042-686-0796</t>
    <phoneticPr fontId="6"/>
  </si>
  <si>
    <t>株式会社加藤</t>
    <rPh sb="0" eb="4">
      <t>カブシキカイシャ</t>
    </rPh>
    <rPh sb="4" eb="6">
      <t>カトウ</t>
    </rPh>
    <phoneticPr fontId="6"/>
  </si>
  <si>
    <t>197-0011</t>
    <phoneticPr fontId="6"/>
  </si>
  <si>
    <t>東京都福生市福生992-２　ＮＴビル１　２階</t>
    <rPh sb="0" eb="3">
      <t>トウキョウト</t>
    </rPh>
    <rPh sb="3" eb="6">
      <t>フッサシ</t>
    </rPh>
    <rPh sb="6" eb="8">
      <t>フッサ</t>
    </rPh>
    <rPh sb="21" eb="22">
      <t>カイ</t>
    </rPh>
    <phoneticPr fontId="6"/>
  </si>
  <si>
    <t>仲山　正樹</t>
    <rPh sb="0" eb="2">
      <t>ナカヤマ</t>
    </rPh>
    <rPh sb="3" eb="5">
      <t>マサキ</t>
    </rPh>
    <phoneticPr fontId="6"/>
  </si>
  <si>
    <t>５八福障第5425号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6"/>
  </si>
  <si>
    <t>2-119</t>
    <phoneticPr fontId="6"/>
  </si>
  <si>
    <t>陵南薬局</t>
    <rPh sb="0" eb="4">
      <t>リョウナンヤッキョク</t>
    </rPh>
    <phoneticPr fontId="6"/>
  </si>
  <si>
    <t>193-0824</t>
    <phoneticPr fontId="6"/>
  </si>
  <si>
    <t>八王子市長房町1396番地4</t>
    <rPh sb="0" eb="3">
      <t>ハチオウジ</t>
    </rPh>
    <rPh sb="3" eb="4">
      <t>シ</t>
    </rPh>
    <rPh sb="4" eb="7">
      <t>ナガブサマチ</t>
    </rPh>
    <rPh sb="11" eb="13">
      <t>バンチ</t>
    </rPh>
    <phoneticPr fontId="6"/>
  </si>
  <si>
    <t>042-669-3313</t>
    <phoneticPr fontId="6"/>
  </si>
  <si>
    <t>東京都中央区八重洲二丁目2番1号</t>
    <rPh sb="0" eb="3">
      <t>トウキョウト</t>
    </rPh>
    <rPh sb="3" eb="5">
      <t>チュウオウ</t>
    </rPh>
    <rPh sb="5" eb="6">
      <t>ク</t>
    </rPh>
    <rPh sb="6" eb="9">
      <t>ヤエス</t>
    </rPh>
    <rPh sb="9" eb="10">
      <t>フタ</t>
    </rPh>
    <rPh sb="10" eb="12">
      <t>チョウメ</t>
    </rPh>
    <rPh sb="13" eb="14">
      <t>バン</t>
    </rPh>
    <rPh sb="15" eb="16">
      <t>ゴウ</t>
    </rPh>
    <phoneticPr fontId="6"/>
  </si>
  <si>
    <t>榎本　駿</t>
    <rPh sb="0" eb="2">
      <t>エノモト</t>
    </rPh>
    <rPh sb="3" eb="4">
      <t>シュン</t>
    </rPh>
    <phoneticPr fontId="6"/>
  </si>
  <si>
    <t>５八福障第6445号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6"/>
  </si>
  <si>
    <t>変更届（医療機関コード：2956076→2956142、開設者住所：東京都日野市多摩平三丁目12番地の3→東京都中央区八重洲二丁目2番1号、開設者名：株式会社清水薬局　代表取締役　柴崎俊明→株式会社ストレチア　代表取締役　山根弘、変更日：令和6年7月1日）</t>
    <phoneticPr fontId="6"/>
  </si>
  <si>
    <t>2-120</t>
    <phoneticPr fontId="6"/>
  </si>
  <si>
    <t>しんわ薬局　上壱分方店</t>
    <rPh sb="3" eb="5">
      <t>ヤッキョク</t>
    </rPh>
    <rPh sb="6" eb="11">
      <t>カミイチブカタテン</t>
    </rPh>
    <phoneticPr fontId="6"/>
  </si>
  <si>
    <t>193-0811</t>
    <phoneticPr fontId="6"/>
  </si>
  <si>
    <t>八王子市上壱分方町577番地8</t>
    <rPh sb="0" eb="4">
      <t>ハチオウジシ</t>
    </rPh>
    <rPh sb="4" eb="9">
      <t>カミイチブカタマチ</t>
    </rPh>
    <rPh sb="12" eb="14">
      <t>バンチ</t>
    </rPh>
    <phoneticPr fontId="6"/>
  </si>
  <si>
    <t>042-659-1480</t>
    <phoneticPr fontId="6"/>
  </si>
  <si>
    <t>株式会社メディックス</t>
    <rPh sb="0" eb="4">
      <t>カブシキカイシャ</t>
    </rPh>
    <phoneticPr fontId="6"/>
  </si>
  <si>
    <t>東京都八王子市元横山町1-2-3</t>
    <rPh sb="0" eb="3">
      <t>トウキョウト</t>
    </rPh>
    <rPh sb="3" eb="7">
      <t>ハチオウジシ</t>
    </rPh>
    <rPh sb="7" eb="11">
      <t>モトヨコヤマチョウ</t>
    </rPh>
    <phoneticPr fontId="6"/>
  </si>
  <si>
    <t>川嶋　祐介</t>
    <rPh sb="0" eb="2">
      <t>カワシマ</t>
    </rPh>
    <rPh sb="3" eb="5">
      <t>ユウスケ</t>
    </rPh>
    <phoneticPr fontId="6"/>
  </si>
  <si>
    <t>６八福障第4142号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6"/>
  </si>
  <si>
    <t>2-121</t>
    <phoneticPr fontId="6"/>
  </si>
  <si>
    <t>スギ薬局　在宅調剤センター八王子店</t>
    <rPh sb="2" eb="4">
      <t>ヤッキョク</t>
    </rPh>
    <rPh sb="5" eb="7">
      <t>ザイタク</t>
    </rPh>
    <rPh sb="7" eb="9">
      <t>チョウザイ</t>
    </rPh>
    <rPh sb="13" eb="16">
      <t>ハチオウジ</t>
    </rPh>
    <rPh sb="16" eb="17">
      <t>テン</t>
    </rPh>
    <phoneticPr fontId="6"/>
  </si>
  <si>
    <t>八王子市みなみ野3丁目1番5号　グランディール1階</t>
    <rPh sb="0" eb="4">
      <t>ハチオウジシ</t>
    </rPh>
    <rPh sb="7" eb="8">
      <t>ノ</t>
    </rPh>
    <rPh sb="9" eb="11">
      <t>チョウメ</t>
    </rPh>
    <rPh sb="12" eb="13">
      <t>バン</t>
    </rPh>
    <rPh sb="14" eb="15">
      <t>ゴウ</t>
    </rPh>
    <rPh sb="24" eb="25">
      <t>カイ</t>
    </rPh>
    <phoneticPr fontId="6"/>
  </si>
  <si>
    <t>042-638-0414</t>
    <phoneticPr fontId="6"/>
  </si>
  <si>
    <t>三浦　舞子</t>
    <rPh sb="0" eb="2">
      <t>ミウラ</t>
    </rPh>
    <rPh sb="3" eb="5">
      <t>マイコ</t>
    </rPh>
    <phoneticPr fontId="6"/>
  </si>
  <si>
    <t>2-122</t>
    <phoneticPr fontId="6"/>
  </si>
  <si>
    <t>もも福薬局　ならはら店</t>
    <phoneticPr fontId="11"/>
  </si>
  <si>
    <t>八王子市楢原町５６１－１－１F</t>
    <phoneticPr fontId="11"/>
  </si>
  <si>
    <t>042-686-0353</t>
    <phoneticPr fontId="6"/>
  </si>
  <si>
    <t>株式会社NeoLinks</t>
    <rPh sb="0" eb="4">
      <t>カブシキガイシャ</t>
    </rPh>
    <phoneticPr fontId="11"/>
  </si>
  <si>
    <t>西村　速人</t>
    <rPh sb="0" eb="2">
      <t>ニシムラ</t>
    </rPh>
    <rPh sb="3" eb="5">
      <t>ハヤト</t>
    </rPh>
    <phoneticPr fontId="6"/>
  </si>
  <si>
    <t>６八福障第6221号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6"/>
  </si>
  <si>
    <t>2-123</t>
  </si>
  <si>
    <t>アイセイ薬局　堀之内店</t>
    <rPh sb="4" eb="6">
      <t>ヤッキョク</t>
    </rPh>
    <rPh sb="7" eb="10">
      <t>ホリノウチ</t>
    </rPh>
    <rPh sb="10" eb="11">
      <t>テン</t>
    </rPh>
    <phoneticPr fontId="11"/>
  </si>
  <si>
    <t>192-0355</t>
    <phoneticPr fontId="6"/>
  </si>
  <si>
    <t>八王子市堀之内３－３５－１３　谷合ビル１０１</t>
    <rPh sb="0" eb="3">
      <t>ハチオウジ</t>
    </rPh>
    <rPh sb="3" eb="4">
      <t>シ</t>
    </rPh>
    <rPh sb="4" eb="7">
      <t>ホリノウチ</t>
    </rPh>
    <rPh sb="15" eb="17">
      <t>タニアイ</t>
    </rPh>
    <phoneticPr fontId="11"/>
  </si>
  <si>
    <t>042-670-2593</t>
    <phoneticPr fontId="6"/>
  </si>
  <si>
    <t>株式会社アイセイ薬局</t>
    <rPh sb="0" eb="4">
      <t>カブシキガイシャ</t>
    </rPh>
    <rPh sb="8" eb="10">
      <t>ヤッキョク</t>
    </rPh>
    <phoneticPr fontId="11"/>
  </si>
  <si>
    <t>千代田区丸の内2-2-2　丸の内三井ビルディング</t>
    <rPh sb="0" eb="4">
      <t>チヨダク</t>
    </rPh>
    <rPh sb="4" eb="5">
      <t>マル</t>
    </rPh>
    <rPh sb="6" eb="7">
      <t>ウチ</t>
    </rPh>
    <rPh sb="13" eb="14">
      <t>マル</t>
    </rPh>
    <rPh sb="15" eb="16">
      <t>ウチ</t>
    </rPh>
    <rPh sb="16" eb="18">
      <t>ミツイ</t>
    </rPh>
    <phoneticPr fontId="11"/>
  </si>
  <si>
    <t>尾島　祥子</t>
    <phoneticPr fontId="6"/>
  </si>
  <si>
    <t>2-124</t>
  </si>
  <si>
    <t>クリエイト薬局八王子大和田町店</t>
    <phoneticPr fontId="11"/>
  </si>
  <si>
    <t>192-0045</t>
    <phoneticPr fontId="6"/>
  </si>
  <si>
    <t>八王子市大和田町４－２２－１６</t>
    <phoneticPr fontId="11"/>
  </si>
  <si>
    <t>042-631-8570</t>
    <phoneticPr fontId="6"/>
  </si>
  <si>
    <t>株式会社クリエイトエス・ディー</t>
    <phoneticPr fontId="11"/>
  </si>
  <si>
    <t>神奈川県横浜市青葉区荏田西2-3-2</t>
    <rPh sb="0" eb="4">
      <t>カナガワケン</t>
    </rPh>
    <rPh sb="4" eb="7">
      <t>ヨコハマシ</t>
    </rPh>
    <rPh sb="7" eb="10">
      <t>アオバク</t>
    </rPh>
    <rPh sb="10" eb="12">
      <t>エタ</t>
    </rPh>
    <rPh sb="12" eb="13">
      <t>ニシ</t>
    </rPh>
    <phoneticPr fontId="11"/>
  </si>
  <si>
    <t>嶺　沙帆里</t>
    <rPh sb="0" eb="1">
      <t>ミネ</t>
    </rPh>
    <rPh sb="2" eb="3">
      <t>サ</t>
    </rPh>
    <rPh sb="3" eb="4">
      <t>ホ</t>
    </rPh>
    <rPh sb="4" eb="5">
      <t>リ</t>
    </rPh>
    <phoneticPr fontId="6"/>
  </si>
  <si>
    <t>変更届（亀井　晨佑　～令和7年10月10日）</t>
    <rPh sb="4" eb="6">
      <t>カメイ</t>
    </rPh>
    <rPh sb="7" eb="8">
      <t>シン</t>
    </rPh>
    <rPh sb="8" eb="9">
      <t>スケ</t>
    </rPh>
    <phoneticPr fontId="6"/>
  </si>
  <si>
    <t>2-125</t>
  </si>
  <si>
    <t>おひさま薬局</t>
    <rPh sb="4" eb="6">
      <t>ヤッキョク</t>
    </rPh>
    <phoneticPr fontId="6"/>
  </si>
  <si>
    <t>八王子市南大沢2-1-6　フレンテ南大沢駅前（新館）ビル2階</t>
  </si>
  <si>
    <t>042-653-9341</t>
    <phoneticPr fontId="6"/>
  </si>
  <si>
    <t>株式会社プラックス</t>
    <rPh sb="0" eb="4">
      <t>カブシキガイシャ</t>
    </rPh>
    <phoneticPr fontId="8"/>
  </si>
  <si>
    <t>195-0053</t>
    <phoneticPr fontId="6"/>
  </si>
  <si>
    <t>東京都町田市能ヶ谷１－６－１１</t>
    <rPh sb="0" eb="3">
      <t>トウキョウト</t>
    </rPh>
    <rPh sb="3" eb="6">
      <t>マチダシ</t>
    </rPh>
    <rPh sb="6" eb="7">
      <t>ノウ</t>
    </rPh>
    <rPh sb="8" eb="9">
      <t>タニ</t>
    </rPh>
    <phoneticPr fontId="6"/>
  </si>
  <si>
    <t>尾栢　有美</t>
    <rPh sb="0" eb="1">
      <t>オ</t>
    </rPh>
    <rPh sb="1" eb="2">
      <t>ハク</t>
    </rPh>
    <rPh sb="3" eb="5">
      <t>ユミ</t>
    </rPh>
    <phoneticPr fontId="6"/>
  </si>
  <si>
    <t>６八福障第8018号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6"/>
  </si>
  <si>
    <t>2-126</t>
  </si>
  <si>
    <t>天狗薬局</t>
    <rPh sb="0" eb="4">
      <t>テングヤッキョク</t>
    </rPh>
    <phoneticPr fontId="6"/>
  </si>
  <si>
    <t>八王子市楢原町1144-1</t>
    <rPh sb="0" eb="4">
      <t>ハチオウジシ</t>
    </rPh>
    <rPh sb="4" eb="7">
      <t>ナラハラマチ</t>
    </rPh>
    <phoneticPr fontId="8"/>
  </si>
  <si>
    <t>042-649-6969</t>
    <phoneticPr fontId="6"/>
  </si>
  <si>
    <t>株式会社寶輪会</t>
  </si>
  <si>
    <t>259-0201</t>
    <phoneticPr fontId="6"/>
  </si>
  <si>
    <t>神奈川県足柄下郡真鶴町真鶴字入窪１３２２－１</t>
    <rPh sb="0" eb="4">
      <t>カナガワケン</t>
    </rPh>
    <rPh sb="4" eb="8">
      <t>アシガラシモグン</t>
    </rPh>
    <rPh sb="8" eb="11">
      <t>マナヅルマチ</t>
    </rPh>
    <rPh sb="11" eb="13">
      <t>マナヅル</t>
    </rPh>
    <rPh sb="13" eb="14">
      <t>アザ</t>
    </rPh>
    <rPh sb="14" eb="15">
      <t>ニュウ</t>
    </rPh>
    <rPh sb="15" eb="16">
      <t>クボ</t>
    </rPh>
    <phoneticPr fontId="6"/>
  </si>
  <si>
    <t>新井　樹</t>
    <rPh sb="0" eb="2">
      <t>アライ</t>
    </rPh>
    <rPh sb="3" eb="4">
      <t>イツキ</t>
    </rPh>
    <phoneticPr fontId="6"/>
  </si>
  <si>
    <t>2-127</t>
    <phoneticPr fontId="6"/>
  </si>
  <si>
    <t>なないろ薬局　本店</t>
    <rPh sb="4" eb="6">
      <t>ヤッキョク</t>
    </rPh>
    <rPh sb="7" eb="9">
      <t>ホンテン</t>
    </rPh>
    <phoneticPr fontId="6"/>
  </si>
  <si>
    <t>八王子市千人町2-19-15　長塚ビル102</t>
    <rPh sb="0" eb="4">
      <t>ハチオウジシ</t>
    </rPh>
    <rPh sb="4" eb="7">
      <t>センニンチョウ</t>
    </rPh>
    <rPh sb="15" eb="17">
      <t>ナガツカ</t>
    </rPh>
    <phoneticPr fontId="8"/>
  </si>
  <si>
    <t>042-665-7716</t>
    <phoneticPr fontId="6"/>
  </si>
  <si>
    <t>株式会社MEDIPORT</t>
    <rPh sb="0" eb="2">
      <t>カブシキ</t>
    </rPh>
    <rPh sb="2" eb="4">
      <t>カイシャ</t>
    </rPh>
    <phoneticPr fontId="6"/>
  </si>
  <si>
    <t>八王子市明神町4-8-13</t>
    <rPh sb="0" eb="3">
      <t>ハチオウジ</t>
    </rPh>
    <rPh sb="4" eb="7">
      <t>ミョウジンチョウ</t>
    </rPh>
    <phoneticPr fontId="11"/>
  </si>
  <si>
    <t>東田　真依</t>
    <rPh sb="0" eb="2">
      <t>ヒガシダ</t>
    </rPh>
    <rPh sb="3" eb="5">
      <t>マイ</t>
    </rPh>
    <phoneticPr fontId="6"/>
  </si>
  <si>
    <t>７八福障第1714号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6"/>
  </si>
  <si>
    <t>2-128</t>
    <phoneticPr fontId="6"/>
  </si>
  <si>
    <t>おおるり薬局</t>
    <rPh sb="4" eb="6">
      <t>ヤッキョク</t>
    </rPh>
    <phoneticPr fontId="6"/>
  </si>
  <si>
    <t>八王子市館町５３５－５</t>
    <rPh sb="0" eb="4">
      <t>ハチオウジシ</t>
    </rPh>
    <phoneticPr fontId="8"/>
  </si>
  <si>
    <t>042-673-2468</t>
    <phoneticPr fontId="6"/>
  </si>
  <si>
    <t>株式会社フォルマン</t>
    <rPh sb="0" eb="4">
      <t>カブシキカイシャ</t>
    </rPh>
    <phoneticPr fontId="6"/>
  </si>
  <si>
    <t>327-0843</t>
    <phoneticPr fontId="6"/>
  </si>
  <si>
    <t>栃木県佐野市堀米町３９６６－１</t>
    <rPh sb="0" eb="3">
      <t>トチギケン</t>
    </rPh>
    <rPh sb="3" eb="6">
      <t>サノシ</t>
    </rPh>
    <rPh sb="6" eb="8">
      <t>ホリゴメ</t>
    </rPh>
    <rPh sb="8" eb="9">
      <t>マチ</t>
    </rPh>
    <phoneticPr fontId="11"/>
  </si>
  <si>
    <t>大﨑　俊啓</t>
    <rPh sb="0" eb="2">
      <t>オオサキ</t>
    </rPh>
    <rPh sb="3" eb="4">
      <t>トシ</t>
    </rPh>
    <rPh sb="4" eb="5">
      <t>ケイ</t>
    </rPh>
    <phoneticPr fontId="6"/>
  </si>
  <si>
    <t>変更届（兵藤　大介　～令和7年11月30日）</t>
    <phoneticPr fontId="6"/>
  </si>
  <si>
    <t>７八福障第6127号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6"/>
  </si>
  <si>
    <t>2-129</t>
    <phoneticPr fontId="6"/>
  </si>
  <si>
    <t>日本調剤　北八王子薬局</t>
    <rPh sb="0" eb="2">
      <t>ニホン</t>
    </rPh>
    <rPh sb="2" eb="4">
      <t>チョウザイ</t>
    </rPh>
    <rPh sb="5" eb="9">
      <t>キタハチオウジ</t>
    </rPh>
    <rPh sb="9" eb="11">
      <t>ヤッキョク</t>
    </rPh>
    <phoneticPr fontId="6"/>
  </si>
  <si>
    <t>八王子市高倉町７－６　ステータスタカクラ１階</t>
    <rPh sb="0" eb="4">
      <t>ハチオウジシ</t>
    </rPh>
    <rPh sb="4" eb="7">
      <t>タカクラマチ</t>
    </rPh>
    <rPh sb="21" eb="22">
      <t>カイ</t>
    </rPh>
    <phoneticPr fontId="8"/>
  </si>
  <si>
    <t>042-649-5606</t>
    <phoneticPr fontId="6"/>
  </si>
  <si>
    <t>日本調剤株式会社</t>
    <rPh sb="0" eb="8">
      <t>ニホンチョウザイカブシキカイシャ</t>
    </rPh>
    <phoneticPr fontId="6"/>
  </si>
  <si>
    <t>東京都港区芝五丁目３３番１１号</t>
    <rPh sb="0" eb="3">
      <t>トウキョウト</t>
    </rPh>
    <phoneticPr fontId="5"/>
  </si>
  <si>
    <t>藤田　真人</t>
    <rPh sb="0" eb="2">
      <t>フジタ</t>
    </rPh>
    <rPh sb="3" eb="4">
      <t>マコト</t>
    </rPh>
    <rPh sb="4" eb="5">
      <t>ヒト</t>
    </rPh>
    <phoneticPr fontId="6"/>
  </si>
  <si>
    <t>7八福障第8178号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6"/>
  </si>
  <si>
    <t>2-130</t>
    <phoneticPr fontId="6"/>
  </si>
  <si>
    <t>薬局マツモトキヨシ　京王八王子駅前店</t>
    <rPh sb="0" eb="2">
      <t>ヤッキョク</t>
    </rPh>
    <rPh sb="10" eb="18">
      <t>ケイオウハチオウジエキマエテン</t>
    </rPh>
    <phoneticPr fontId="6"/>
  </si>
  <si>
    <t>八王子市明神町四丁目７番１５号　落合ビル</t>
    <rPh sb="0" eb="4">
      <t>ハチオウジシ</t>
    </rPh>
    <rPh sb="4" eb="7">
      <t>ミョウジンチョウ</t>
    </rPh>
    <rPh sb="7" eb="10">
      <t>４チョウメ</t>
    </rPh>
    <rPh sb="11" eb="12">
      <t>バン</t>
    </rPh>
    <rPh sb="14" eb="15">
      <t>ゴウ</t>
    </rPh>
    <rPh sb="16" eb="18">
      <t>オチアイ</t>
    </rPh>
    <phoneticPr fontId="8"/>
  </si>
  <si>
    <t>042-649-2838</t>
    <phoneticPr fontId="6"/>
  </si>
  <si>
    <t>株式会社マツモトキヨシ</t>
    <rPh sb="0" eb="4">
      <t>カブシキカイシャ</t>
    </rPh>
    <phoneticPr fontId="6"/>
  </si>
  <si>
    <t>270-0034</t>
    <phoneticPr fontId="6"/>
  </si>
  <si>
    <t>千葉県松戸市新松戸東９番地１</t>
    <rPh sb="0" eb="3">
      <t>チバケン</t>
    </rPh>
    <rPh sb="3" eb="6">
      <t>マツドシ</t>
    </rPh>
    <rPh sb="6" eb="9">
      <t>シンマツド</t>
    </rPh>
    <rPh sb="9" eb="10">
      <t>ヒガシ</t>
    </rPh>
    <rPh sb="11" eb="13">
      <t>バンチ</t>
    </rPh>
    <phoneticPr fontId="5"/>
  </si>
  <si>
    <t>海老原　智明</t>
    <rPh sb="0" eb="3">
      <t>エビハラ</t>
    </rPh>
    <rPh sb="4" eb="6">
      <t>トモアキ</t>
    </rPh>
    <phoneticPr fontId="6"/>
  </si>
  <si>
    <t>2-131</t>
    <phoneticPr fontId="6"/>
  </si>
  <si>
    <t>たから薬局　八王子駅前店</t>
    <rPh sb="3" eb="5">
      <t>ヤッキョク</t>
    </rPh>
    <rPh sb="6" eb="12">
      <t>ハチオウジエキマエテン</t>
    </rPh>
    <phoneticPr fontId="6"/>
  </si>
  <si>
    <t>八王子市旭町９－１　八王子スクエアビル１階</t>
    <rPh sb="0" eb="4">
      <t>ハチオウジシ</t>
    </rPh>
    <rPh sb="4" eb="6">
      <t>アサヒチョウ</t>
    </rPh>
    <rPh sb="10" eb="13">
      <t>ハチオウジ</t>
    </rPh>
    <rPh sb="20" eb="21">
      <t>カイ</t>
    </rPh>
    <phoneticPr fontId="8"/>
  </si>
  <si>
    <t>042-649-9810</t>
    <phoneticPr fontId="6"/>
  </si>
  <si>
    <t>株式会社トラストファーマシー</t>
    <rPh sb="0" eb="4">
      <t>カブシキカイシャ</t>
    </rPh>
    <phoneticPr fontId="6"/>
  </si>
  <si>
    <t>171-0022</t>
    <phoneticPr fontId="6"/>
  </si>
  <si>
    <t>東京都豊島区南池袋２－２９－１２</t>
    <rPh sb="0" eb="3">
      <t>トウキョウト</t>
    </rPh>
    <rPh sb="3" eb="6">
      <t>トシマク</t>
    </rPh>
    <rPh sb="6" eb="9">
      <t>ミナミイケブクロ</t>
    </rPh>
    <phoneticPr fontId="5"/>
  </si>
  <si>
    <t>前田　永都</t>
    <rPh sb="0" eb="2">
      <t>マエダ</t>
    </rPh>
    <rPh sb="3" eb="4">
      <t>エイ</t>
    </rPh>
    <rPh sb="4" eb="5">
      <t>ト</t>
    </rPh>
    <phoneticPr fontId="6"/>
  </si>
  <si>
    <t>2-132</t>
    <phoneticPr fontId="6"/>
  </si>
  <si>
    <t>めばえ薬局</t>
    <phoneticPr fontId="6"/>
  </si>
  <si>
    <t>八王子市みなみ野３丁目１－７</t>
    <rPh sb="0" eb="4">
      <t>ハチオウジシ</t>
    </rPh>
    <rPh sb="9" eb="11">
      <t>チョウメ</t>
    </rPh>
    <phoneticPr fontId="6"/>
  </si>
  <si>
    <t>042-632-7255</t>
    <phoneticPr fontId="6"/>
  </si>
  <si>
    <t>株式会社カインズ</t>
    <rPh sb="0" eb="4">
      <t>カブシキカイシャ</t>
    </rPh>
    <phoneticPr fontId="6"/>
  </si>
  <si>
    <t>151-0053</t>
    <phoneticPr fontId="6"/>
  </si>
  <si>
    <t>東京都渋谷区代々木２－５－５</t>
    <rPh sb="0" eb="3">
      <t>トウキョウト</t>
    </rPh>
    <rPh sb="3" eb="6">
      <t>シブヤク</t>
    </rPh>
    <rPh sb="6" eb="9">
      <t>ヨヨギ</t>
    </rPh>
    <phoneticPr fontId="5"/>
  </si>
  <si>
    <t>谷口　淳</t>
    <rPh sb="0" eb="2">
      <t>タニグチ</t>
    </rPh>
    <rPh sb="3" eb="4">
      <t>ジュン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</si>
</sst>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000000"/>
    <numFmt numFmtId="177" formatCode="[$-411]ggge&quot;年&quot;m&quot;月&quot;d&quot;日&quot;;@"/>
    <numFmt numFmtId="178" formatCode="0;[Red]0"/>
    <numFmt numFmtId="179" formatCode="[&lt;=999]000;000\-0000"/>
    <numFmt numFmtId="180" formatCode="0_);[Red]\(0\)"/>
    <numFmt numFmtId="181" formatCode="[&lt;=999]000;[&lt;=9999]000\-00;000\-0000"/>
    <numFmt numFmtId="182" formatCode="[$]ggge&quot;年&quot;m&quot;月&quot;d&quot;日&quot;;@" x16r2:formatCode16="[$-ja-JP-x-gannen]ggge&quot;年&quot;m&quot;月&quot;d&quot;日&quot;;@"/>
  </numFmts>
  <fonts count="13" x14ac:knownFonts="1">
    <font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13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6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color theme="1"/>
      <name val="ＭＳ 明朝"/>
      <family val="1"/>
      <charset val="128"/>
    </font>
    <font>
      <sz val="10"/>
      <name val="ＭＳ 明朝"/>
      <family val="1"/>
      <charset val="128"/>
    </font>
    <font>
      <sz val="9"/>
      <name val="ＭＳ 明朝"/>
      <family val="1"/>
      <charset val="128"/>
    </font>
    <font>
      <sz val="6"/>
      <name val="游ゴシック"/>
      <family val="3"/>
      <charset val="128"/>
      <scheme val="minor"/>
    </font>
    <font>
      <sz val="9"/>
      <color theme="1"/>
      <name val="游ゴシック"/>
      <family val="2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32">
    <xf numFmtId="0" fontId="0" fillId="0" borderId="0" xfId="0">
      <alignment vertical="center"/>
    </xf>
    <xf numFmtId="49" fontId="3" fillId="0" borderId="0" xfId="1" applyNumberFormat="1" applyFont="1">
      <alignment vertical="center"/>
    </xf>
    <xf numFmtId="0" fontId="3" fillId="0" borderId="0" xfId="1" applyFont="1">
      <alignment vertical="center"/>
    </xf>
    <xf numFmtId="0" fontId="2" fillId="0" borderId="0" xfId="1" applyAlignment="1">
      <alignment horizontal="center" vertical="center"/>
    </xf>
    <xf numFmtId="176" fontId="2" fillId="0" borderId="0" xfId="1" applyNumberFormat="1">
      <alignment vertical="center"/>
    </xf>
    <xf numFmtId="0" fontId="2" fillId="2" borderId="0" xfId="1" applyFill="1" applyAlignment="1">
      <alignment vertical="center" wrapText="1"/>
    </xf>
    <xf numFmtId="0" fontId="2" fillId="0" borderId="0" xfId="1" applyAlignment="1">
      <alignment vertical="center" wrapText="1"/>
    </xf>
    <xf numFmtId="0" fontId="2" fillId="0" borderId="0" xfId="1">
      <alignment vertical="center"/>
    </xf>
    <xf numFmtId="0" fontId="2" fillId="0" borderId="1" xfId="1" applyBorder="1" applyAlignment="1">
      <alignment vertical="center" wrapText="1"/>
    </xf>
    <xf numFmtId="177" fontId="2" fillId="0" borderId="1" xfId="1" applyNumberFormat="1" applyBorder="1" applyAlignment="1">
      <alignment horizontal="center" vertical="center" wrapText="1"/>
    </xf>
    <xf numFmtId="177" fontId="2" fillId="0" borderId="0" xfId="1" applyNumberFormat="1" applyAlignment="1">
      <alignment horizontal="center" vertical="center"/>
    </xf>
    <xf numFmtId="49" fontId="2" fillId="0" borderId="0" xfId="1" applyNumberFormat="1" applyAlignment="1">
      <alignment horizontal="center" vertical="center"/>
    </xf>
    <xf numFmtId="49" fontId="2" fillId="0" borderId="0" xfId="1" applyNumberFormat="1">
      <alignment vertical="center"/>
    </xf>
    <xf numFmtId="0" fontId="2" fillId="0" borderId="2" xfId="1" applyBorder="1" applyAlignment="1">
      <alignment vertical="center" wrapText="1"/>
    </xf>
    <xf numFmtId="0" fontId="8" fillId="0" borderId="0" xfId="0" applyFont="1">
      <alignment vertical="center"/>
    </xf>
    <xf numFmtId="49" fontId="2" fillId="0" borderId="3" xfId="1" applyNumberFormat="1" applyBorder="1" applyAlignment="1">
      <alignment horizontal="center" vertical="center"/>
    </xf>
    <xf numFmtId="0" fontId="2" fillId="0" borderId="3" xfId="1" applyBorder="1" applyAlignment="1">
      <alignment horizontal="center" vertical="center" wrapText="1"/>
    </xf>
    <xf numFmtId="0" fontId="2" fillId="0" borderId="4" xfId="1" applyBorder="1" applyAlignment="1">
      <alignment horizontal="center" vertical="center"/>
    </xf>
    <xf numFmtId="0" fontId="2" fillId="0" borderId="5" xfId="1" applyBorder="1" applyAlignment="1">
      <alignment horizontal="center" vertical="center"/>
    </xf>
    <xf numFmtId="0" fontId="2" fillId="0" borderId="6" xfId="1" applyBorder="1" applyAlignment="1">
      <alignment horizontal="center" vertical="center"/>
    </xf>
    <xf numFmtId="0" fontId="2" fillId="3" borderId="4" xfId="1" applyFill="1" applyBorder="1" applyAlignment="1">
      <alignment horizontal="center" vertical="center" wrapText="1"/>
    </xf>
    <xf numFmtId="0" fontId="2" fillId="3" borderId="5" xfId="1" applyFill="1" applyBorder="1" applyAlignment="1">
      <alignment horizontal="center" vertical="center" wrapText="1"/>
    </xf>
    <xf numFmtId="0" fontId="2" fillId="3" borderId="6" xfId="1" applyFill="1" applyBorder="1" applyAlignment="1">
      <alignment horizontal="center" vertical="center" wrapText="1"/>
    </xf>
    <xf numFmtId="49" fontId="2" fillId="0" borderId="3" xfId="1" applyNumberFormat="1" applyBorder="1" applyAlignment="1">
      <alignment horizontal="center" vertical="center" wrapText="1"/>
    </xf>
    <xf numFmtId="177" fontId="2" fillId="0" borderId="3" xfId="1" applyNumberFormat="1" applyBorder="1" applyAlignment="1">
      <alignment horizontal="center" vertical="center"/>
    </xf>
    <xf numFmtId="177" fontId="2" fillId="0" borderId="3" xfId="1" applyNumberFormat="1" applyBorder="1" applyAlignment="1">
      <alignment horizontal="center" vertical="center"/>
    </xf>
    <xf numFmtId="0" fontId="2" fillId="0" borderId="3" xfId="1" applyBorder="1" applyAlignment="1">
      <alignment horizontal="center" vertical="center"/>
    </xf>
    <xf numFmtId="49" fontId="2" fillId="4" borderId="3" xfId="1" applyNumberFormat="1" applyFill="1" applyBorder="1" applyAlignment="1">
      <alignment horizontal="center" vertical="center"/>
    </xf>
    <xf numFmtId="49" fontId="9" fillId="4" borderId="3" xfId="1" applyNumberFormat="1" applyFont="1" applyFill="1" applyBorder="1" applyAlignment="1">
      <alignment horizontal="center" vertical="center" wrapText="1"/>
    </xf>
    <xf numFmtId="49" fontId="2" fillId="0" borderId="7" xfId="1" applyNumberFormat="1" applyBorder="1" applyAlignment="1">
      <alignment horizontal="center" vertical="center"/>
    </xf>
    <xf numFmtId="0" fontId="2" fillId="0" borderId="7" xfId="1" applyBorder="1" applyAlignment="1">
      <alignment horizontal="center" vertical="center" wrapText="1"/>
    </xf>
    <xf numFmtId="176" fontId="2" fillId="0" borderId="3" xfId="1" applyNumberFormat="1" applyBorder="1" applyAlignment="1">
      <alignment horizontal="center" vertical="center"/>
    </xf>
    <xf numFmtId="176" fontId="10" fillId="5" borderId="8" xfId="0" applyNumberFormat="1" applyFont="1" applyFill="1" applyBorder="1" applyAlignment="1">
      <alignment horizontal="center" vertical="center" wrapText="1"/>
    </xf>
    <xf numFmtId="0" fontId="2" fillId="2" borderId="3" xfId="1" applyFill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49" fontId="2" fillId="0" borderId="3" xfId="1" applyNumberFormat="1" applyBorder="1" applyAlignment="1">
      <alignment horizontal="center" vertical="center" wrapText="1"/>
    </xf>
    <xf numFmtId="0" fontId="2" fillId="0" borderId="3" xfId="1" applyBorder="1" applyAlignment="1">
      <alignment horizontal="center" vertical="center" wrapText="1"/>
    </xf>
    <xf numFmtId="0" fontId="2" fillId="6" borderId="10" xfId="1" applyFill="1" applyBorder="1" applyAlignment="1">
      <alignment horizontal="center" vertical="center" wrapText="1"/>
    </xf>
    <xf numFmtId="49" fontId="2" fillId="0" borderId="7" xfId="1" applyNumberFormat="1" applyBorder="1" applyAlignment="1">
      <alignment horizontal="center" vertical="center" wrapText="1"/>
    </xf>
    <xf numFmtId="177" fontId="2" fillId="0" borderId="7" xfId="1" applyNumberFormat="1" applyBorder="1" applyAlignment="1">
      <alignment horizontal="center" vertical="center"/>
    </xf>
    <xf numFmtId="177" fontId="2" fillId="0" borderId="8" xfId="1" applyNumberFormat="1" applyBorder="1" applyAlignment="1">
      <alignment horizontal="center" vertical="center"/>
    </xf>
    <xf numFmtId="0" fontId="2" fillId="0" borderId="7" xfId="1" applyBorder="1" applyAlignment="1">
      <alignment horizontal="center" vertical="center"/>
    </xf>
    <xf numFmtId="49" fontId="2" fillId="4" borderId="7" xfId="1" applyNumberFormat="1" applyFill="1" applyBorder="1" applyAlignment="1">
      <alignment horizontal="center" vertical="center"/>
    </xf>
    <xf numFmtId="49" fontId="9" fillId="4" borderId="7" xfId="1" applyNumberFormat="1" applyFont="1" applyFill="1" applyBorder="1" applyAlignment="1">
      <alignment horizontal="center" vertical="center" wrapText="1"/>
    </xf>
    <xf numFmtId="49" fontId="2" fillId="0" borderId="11" xfId="1" applyNumberFormat="1" applyBorder="1">
      <alignment vertical="center"/>
    </xf>
    <xf numFmtId="0" fontId="2" fillId="0" borderId="11" xfId="1" applyBorder="1" applyAlignment="1">
      <alignment vertical="center" wrapText="1"/>
    </xf>
    <xf numFmtId="49" fontId="2" fillId="0" borderId="11" xfId="1" applyNumberFormat="1" applyBorder="1" applyAlignment="1">
      <alignment horizontal="center" vertical="center"/>
    </xf>
    <xf numFmtId="176" fontId="2" fillId="0" borderId="11" xfId="1" applyNumberFormat="1" applyBorder="1">
      <alignment vertical="center"/>
    </xf>
    <xf numFmtId="0" fontId="8" fillId="0" borderId="12" xfId="0" applyFont="1" applyBorder="1">
      <alignment vertical="center"/>
    </xf>
    <xf numFmtId="178" fontId="8" fillId="0" borderId="12" xfId="0" applyNumberFormat="1" applyFont="1" applyBorder="1">
      <alignment vertical="center"/>
    </xf>
    <xf numFmtId="176" fontId="8" fillId="0" borderId="2" xfId="0" applyNumberFormat="1" applyFont="1" applyBorder="1">
      <alignment vertical="center"/>
    </xf>
    <xf numFmtId="0" fontId="2" fillId="2" borderId="11" xfId="1" applyFill="1" applyBorder="1" applyAlignment="1">
      <alignment vertical="center" wrapText="1"/>
    </xf>
    <xf numFmtId="49" fontId="2" fillId="0" borderId="11" xfId="1" applyNumberFormat="1" applyBorder="1" applyAlignment="1">
      <alignment vertical="center" wrapText="1"/>
    </xf>
    <xf numFmtId="0" fontId="2" fillId="3" borderId="11" xfId="1" applyFill="1" applyBorder="1" applyAlignment="1">
      <alignment vertical="center" wrapText="1"/>
    </xf>
    <xf numFmtId="49" fontId="2" fillId="3" borderId="11" xfId="1" applyNumberFormat="1" applyFill="1" applyBorder="1" applyAlignment="1">
      <alignment vertical="center" wrapText="1"/>
    </xf>
    <xf numFmtId="177" fontId="2" fillId="0" borderId="11" xfId="1" applyNumberFormat="1" applyBorder="1" applyAlignment="1">
      <alignment horizontal="center" vertical="center" wrapText="1"/>
    </xf>
    <xf numFmtId="58" fontId="2" fillId="0" borderId="12" xfId="1" applyNumberFormat="1" applyBorder="1" applyAlignment="1">
      <alignment horizontal="center" vertical="center"/>
    </xf>
    <xf numFmtId="177" fontId="2" fillId="0" borderId="11" xfId="1" applyNumberFormat="1" applyBorder="1" applyAlignment="1">
      <alignment horizontal="center" vertical="center"/>
    </xf>
    <xf numFmtId="58" fontId="2" fillId="0" borderId="11" xfId="1" applyNumberFormat="1" applyBorder="1" applyAlignment="1">
      <alignment horizontal="center" vertical="center"/>
    </xf>
    <xf numFmtId="0" fontId="2" fillId="0" borderId="11" xfId="1" applyBorder="1" applyAlignment="1">
      <alignment horizontal="center" vertical="center"/>
    </xf>
    <xf numFmtId="0" fontId="2" fillId="0" borderId="11" xfId="1" applyBorder="1">
      <alignment vertical="center"/>
    </xf>
    <xf numFmtId="0" fontId="0" fillId="0" borderId="11" xfId="0" applyBorder="1">
      <alignment vertical="center"/>
    </xf>
    <xf numFmtId="49" fontId="2" fillId="0" borderId="2" xfId="1" applyNumberFormat="1" applyBorder="1">
      <alignment vertical="center"/>
    </xf>
    <xf numFmtId="0" fontId="2" fillId="0" borderId="2" xfId="1" applyBorder="1">
      <alignment vertical="center"/>
    </xf>
    <xf numFmtId="0" fontId="2" fillId="0" borderId="2" xfId="1" applyBorder="1" applyAlignment="1">
      <alignment horizontal="center" vertical="center"/>
    </xf>
    <xf numFmtId="176" fontId="2" fillId="0" borderId="2" xfId="1" applyNumberFormat="1" applyBorder="1">
      <alignment vertical="center"/>
    </xf>
    <xf numFmtId="49" fontId="2" fillId="0" borderId="2" xfId="1" applyNumberFormat="1" applyBorder="1" applyAlignment="1">
      <alignment vertical="center" wrapText="1"/>
    </xf>
    <xf numFmtId="0" fontId="2" fillId="6" borderId="2" xfId="1" applyFill="1" applyBorder="1" applyAlignment="1">
      <alignment vertical="center" wrapText="1"/>
    </xf>
    <xf numFmtId="177" fontId="2" fillId="0" borderId="2" xfId="1" applyNumberFormat="1" applyBorder="1" applyAlignment="1">
      <alignment horizontal="center" vertical="center"/>
    </xf>
    <xf numFmtId="58" fontId="2" fillId="0" borderId="2" xfId="1" applyNumberFormat="1" applyBorder="1" applyAlignment="1">
      <alignment horizontal="center" vertical="center"/>
    </xf>
    <xf numFmtId="49" fontId="2" fillId="0" borderId="2" xfId="1" applyNumberFormat="1" applyBorder="1" applyAlignment="1">
      <alignment horizontal="center" vertical="center"/>
    </xf>
    <xf numFmtId="0" fontId="0" fillId="0" borderId="2" xfId="0" applyBorder="1">
      <alignment vertical="center"/>
    </xf>
    <xf numFmtId="0" fontId="2" fillId="2" borderId="2" xfId="1" applyFill="1" applyBorder="1" applyAlignment="1">
      <alignment vertical="center" wrapText="1"/>
    </xf>
    <xf numFmtId="0" fontId="2" fillId="3" borderId="2" xfId="1" applyFill="1" applyBorder="1" applyAlignment="1">
      <alignment vertical="center" wrapText="1"/>
    </xf>
    <xf numFmtId="177" fontId="2" fillId="0" borderId="2" xfId="1" applyNumberFormat="1" applyBorder="1" applyAlignment="1">
      <alignment horizontal="center" vertical="center" wrapText="1"/>
    </xf>
    <xf numFmtId="0" fontId="2" fillId="0" borderId="12" xfId="1" applyBorder="1">
      <alignment vertical="center"/>
    </xf>
    <xf numFmtId="49" fontId="2" fillId="3" borderId="2" xfId="1" applyNumberFormat="1" applyFill="1" applyBorder="1" applyAlignment="1">
      <alignment vertical="center" wrapText="1"/>
    </xf>
    <xf numFmtId="0" fontId="2" fillId="0" borderId="2" xfId="1" applyBorder="1" applyAlignment="1">
      <alignment horizontal="center" vertical="center" wrapText="1"/>
    </xf>
    <xf numFmtId="176" fontId="2" fillId="0" borderId="2" xfId="1" applyNumberFormat="1" applyBorder="1" applyAlignment="1">
      <alignment vertical="center" wrapText="1"/>
    </xf>
    <xf numFmtId="58" fontId="2" fillId="0" borderId="2" xfId="1" applyNumberFormat="1" applyBorder="1" applyAlignment="1">
      <alignment horizontal="center" vertical="center" wrapText="1"/>
    </xf>
    <xf numFmtId="49" fontId="2" fillId="6" borderId="2" xfId="1" applyNumberFormat="1" applyFill="1" applyBorder="1" applyAlignment="1">
      <alignment vertical="center" wrapText="1"/>
    </xf>
    <xf numFmtId="179" fontId="2" fillId="0" borderId="2" xfId="1" applyNumberFormat="1" applyBorder="1" applyAlignment="1">
      <alignment horizontal="left" vertical="center" wrapText="1"/>
    </xf>
    <xf numFmtId="49" fontId="2" fillId="0" borderId="2" xfId="1" applyNumberFormat="1" applyBorder="1" applyAlignment="1">
      <alignment horizontal="left" vertical="center" wrapText="1"/>
    </xf>
    <xf numFmtId="0" fontId="2" fillId="2" borderId="2" xfId="1" applyFill="1" applyBorder="1" applyAlignment="1">
      <alignment horizontal="left" vertical="center" wrapText="1"/>
    </xf>
    <xf numFmtId="49" fontId="2" fillId="2" borderId="2" xfId="1" applyNumberFormat="1" applyFill="1" applyBorder="1" applyAlignment="1">
      <alignment vertical="center" wrapText="1"/>
    </xf>
    <xf numFmtId="0" fontId="2" fillId="7" borderId="2" xfId="1" applyFill="1" applyBorder="1" applyAlignment="1">
      <alignment vertical="center" wrapText="1"/>
    </xf>
    <xf numFmtId="180" fontId="2" fillId="0" borderId="2" xfId="1" applyNumberForma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181" fontId="2" fillId="0" borderId="2" xfId="1" applyNumberFormat="1" applyBorder="1" applyAlignment="1">
      <alignment horizontal="left" vertical="center" wrapText="1"/>
    </xf>
    <xf numFmtId="0" fontId="2" fillId="2" borderId="2" xfId="1" applyFill="1" applyBorder="1" applyAlignment="1">
      <alignment horizontal="center" vertical="center"/>
    </xf>
    <xf numFmtId="58" fontId="2" fillId="2" borderId="2" xfId="1" applyNumberFormat="1" applyFill="1" applyBorder="1" applyAlignment="1">
      <alignment horizontal="center" vertical="center"/>
    </xf>
    <xf numFmtId="49" fontId="2" fillId="6" borderId="2" xfId="1" applyNumberFormat="1" applyFill="1" applyBorder="1" applyAlignment="1">
      <alignment horizontal="left" vertical="center" wrapText="1"/>
    </xf>
    <xf numFmtId="49" fontId="2" fillId="3" borderId="2" xfId="1" applyNumberFormat="1" applyFill="1" applyBorder="1" applyAlignment="1">
      <alignment horizontal="left" vertical="center" wrapText="1"/>
    </xf>
    <xf numFmtId="181" fontId="2" fillId="0" borderId="2" xfId="1" applyNumberFormat="1" applyBorder="1" applyAlignment="1">
      <alignment vertical="center" wrapText="1"/>
    </xf>
    <xf numFmtId="0" fontId="2" fillId="0" borderId="2" xfId="1" applyBorder="1" applyAlignment="1">
      <alignment horizontal="left" vertical="center" wrapText="1"/>
    </xf>
    <xf numFmtId="182" fontId="2" fillId="0" borderId="2" xfId="1" applyNumberFormat="1" applyBorder="1" applyAlignment="1">
      <alignment horizontal="center" vertical="center"/>
    </xf>
    <xf numFmtId="0" fontId="8" fillId="0" borderId="2" xfId="0" applyFont="1" applyBorder="1">
      <alignment vertical="center"/>
    </xf>
    <xf numFmtId="0" fontId="8" fillId="0" borderId="2" xfId="0" applyFont="1" applyBorder="1" applyAlignment="1">
      <alignment horizontal="center" vertical="center"/>
    </xf>
    <xf numFmtId="0" fontId="8" fillId="2" borderId="2" xfId="0" applyFont="1" applyFill="1" applyBorder="1" applyAlignment="1">
      <alignment vertical="center" wrapText="1"/>
    </xf>
    <xf numFmtId="58" fontId="8" fillId="0" borderId="2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49" fontId="2" fillId="0" borderId="2" xfId="1" applyNumberForma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2" borderId="2" xfId="0" applyFill="1" applyBorder="1">
      <alignment vertical="center"/>
    </xf>
    <xf numFmtId="0" fontId="0" fillId="2" borderId="2" xfId="0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3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8" fillId="2" borderId="2" xfId="0" applyFont="1" applyFill="1" applyBorder="1">
      <alignment vertical="center"/>
    </xf>
    <xf numFmtId="0" fontId="1" fillId="0" borderId="13" xfId="1" applyFont="1" applyBorder="1" applyAlignment="1">
      <alignment vertical="center" shrinkToFit="1"/>
    </xf>
    <xf numFmtId="0" fontId="1" fillId="0" borderId="12" xfId="1" applyFont="1" applyBorder="1" applyAlignment="1">
      <alignment vertical="center" shrinkToFit="1"/>
    </xf>
    <xf numFmtId="177" fontId="1" fillId="0" borderId="2" xfId="1" applyNumberFormat="1" applyFont="1" applyBorder="1" applyAlignment="1">
      <alignment horizontal="left" vertical="center" shrinkToFit="1"/>
    </xf>
    <xf numFmtId="0" fontId="1" fillId="3" borderId="12" xfId="1" applyFont="1" applyFill="1" applyBorder="1" applyAlignment="1">
      <alignment horizontal="left" vertical="center" shrinkToFit="1"/>
    </xf>
    <xf numFmtId="0" fontId="2" fillId="0" borderId="2" xfId="0" applyFont="1" applyBorder="1" applyAlignment="1">
      <alignment horizontal="center" vertical="center"/>
    </xf>
    <xf numFmtId="0" fontId="7" fillId="0" borderId="13" xfId="1" applyFont="1" applyBorder="1" applyAlignment="1">
      <alignment vertical="center" shrinkToFit="1"/>
    </xf>
    <xf numFmtId="0" fontId="7" fillId="0" borderId="12" xfId="1" applyFont="1" applyBorder="1" applyAlignment="1">
      <alignment vertical="center" shrinkToFit="1"/>
    </xf>
    <xf numFmtId="177" fontId="7" fillId="0" borderId="2" xfId="1" applyNumberFormat="1" applyFont="1" applyBorder="1" applyAlignment="1">
      <alignment horizontal="left" vertical="center" shrinkToFit="1"/>
    </xf>
    <xf numFmtId="0" fontId="7" fillId="3" borderId="12" xfId="1" applyFont="1" applyFill="1" applyBorder="1" applyAlignment="1">
      <alignment horizontal="left" vertical="center" shrinkToFit="1"/>
    </xf>
    <xf numFmtId="177" fontId="7" fillId="3" borderId="2" xfId="1" applyNumberFormat="1" applyFont="1" applyFill="1" applyBorder="1" applyAlignment="1">
      <alignment horizontal="left" vertical="center" shrinkToFit="1"/>
    </xf>
    <xf numFmtId="0" fontId="0" fillId="0" borderId="13" xfId="1" applyFont="1" applyBorder="1" applyAlignment="1">
      <alignment vertical="center" shrinkToFit="1"/>
    </xf>
    <xf numFmtId="0" fontId="7" fillId="0" borderId="12" xfId="1" applyFont="1" applyBorder="1" applyAlignment="1">
      <alignment vertical="center" wrapText="1" shrinkToFit="1"/>
    </xf>
    <xf numFmtId="0" fontId="0" fillId="3" borderId="12" xfId="1" applyFont="1" applyFill="1" applyBorder="1" applyAlignment="1">
      <alignment horizontal="left" vertical="center" shrinkToFit="1"/>
    </xf>
    <xf numFmtId="177" fontId="0" fillId="3" borderId="2" xfId="1" applyNumberFormat="1" applyFont="1" applyFill="1" applyBorder="1" applyAlignment="1">
      <alignment horizontal="left" vertical="center" shrinkToFit="1"/>
    </xf>
    <xf numFmtId="0" fontId="0" fillId="0" borderId="12" xfId="1" applyFont="1" applyBorder="1" applyAlignment="1">
      <alignment vertical="center" shrinkToFit="1"/>
    </xf>
    <xf numFmtId="177" fontId="0" fillId="0" borderId="2" xfId="1" applyNumberFormat="1" applyFont="1" applyBorder="1" applyAlignment="1">
      <alignment horizontal="left" vertical="center" shrinkToFi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vertical="center" wrapText="1"/>
    </xf>
    <xf numFmtId="180" fontId="12" fillId="0" borderId="0" xfId="1" applyNumberFormat="1" applyFont="1" applyAlignment="1">
      <alignment horizontal="center" vertical="center" shrinkToFit="1"/>
    </xf>
    <xf numFmtId="0" fontId="0" fillId="0" borderId="0" xfId="0" applyAlignment="1">
      <alignment vertical="center" wrapText="1"/>
    </xf>
    <xf numFmtId="177" fontId="0" fillId="0" borderId="0" xfId="0" applyNumberFormat="1">
      <alignment vertical="center"/>
    </xf>
  </cellXfs>
  <cellStyles count="2">
    <cellStyle name="標準" xfId="0" builtinId="0"/>
    <cellStyle name="標準 2" xfId="1" xr:uid="{DAB11290-6572-4745-B6AC-3D17353291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80E35-BEA8-4B9F-AE1F-901CB97084DE}">
  <sheetPr>
    <pageSetUpPr fitToPage="1"/>
  </sheetPr>
  <dimension ref="A1:AK142"/>
  <sheetViews>
    <sheetView tabSelected="1" view="pageBreakPreview" zoomScale="70" zoomScaleNormal="70" zoomScaleSheetLayoutView="70" workbookViewId="0">
      <pane ySplit="3" topLeftCell="A4" activePane="bottomLeft" state="frozen"/>
      <selection pane="bottomLeft" activeCell="P132" sqref="P132"/>
    </sheetView>
  </sheetViews>
  <sheetFormatPr defaultRowHeight="18" outlineLevelCol="1" x14ac:dyDescent="0.55000000000000004"/>
  <cols>
    <col min="2" max="2" width="18.08203125" customWidth="1" outlineLevel="1"/>
    <col min="3" max="3" width="8.25" style="127" customWidth="1" outlineLevel="1"/>
    <col min="4" max="4" width="9.25" bestFit="1" customWidth="1"/>
    <col min="5" max="5" width="8.25" hidden="1" customWidth="1" outlineLevel="1"/>
    <col min="6" max="6" width="11" hidden="1" customWidth="1" outlineLevel="1"/>
    <col min="7" max="7" width="8.25" hidden="1" customWidth="1" outlineLevel="1"/>
    <col min="8" max="8" width="26.6640625" style="128" customWidth="1" collapsed="1"/>
    <col min="9" max="9" width="5.75" customWidth="1"/>
    <col min="10" max="10" width="6.75" customWidth="1"/>
    <col min="11" max="11" width="32.4140625" customWidth="1"/>
    <col min="12" max="12" width="8.25" customWidth="1"/>
    <col min="13" max="13" width="24.6640625" style="130" customWidth="1" outlineLevel="1"/>
    <col min="14" max="14" width="8.25" customWidth="1" outlineLevel="1"/>
    <col min="15" max="15" width="32.4140625" customWidth="1" outlineLevel="1"/>
    <col min="16" max="16" width="12.5" customWidth="1" outlineLevel="1"/>
    <col min="17" max="17" width="12.75" customWidth="1" outlineLevel="1"/>
    <col min="18" max="18" width="16.5" style="131" customWidth="1" outlineLevel="1"/>
    <col min="19" max="19" width="16.5" style="131" customWidth="1"/>
    <col min="20" max="20" width="16.5" customWidth="1" outlineLevel="1"/>
    <col min="21" max="21" width="18.75" customWidth="1" outlineLevel="1"/>
    <col min="22" max="22" width="16.5" customWidth="1" outlineLevel="1"/>
    <col min="23" max="23" width="18.75" customWidth="1" outlineLevel="1"/>
    <col min="24" max="24" width="18.75" customWidth="1"/>
    <col min="25" max="28" width="8.25" customWidth="1" outlineLevel="1"/>
    <col min="29" max="36" width="24.83203125" customWidth="1" outlineLevel="1"/>
    <col min="37" max="37" width="24.83203125" customWidth="1"/>
  </cols>
  <sheetData>
    <row r="1" spans="1:37" ht="52" x14ac:dyDescent="0.55000000000000004">
      <c r="A1" s="1" t="s">
        <v>0</v>
      </c>
      <c r="B1" s="2"/>
      <c r="C1" s="3"/>
      <c r="D1" s="4"/>
      <c r="E1" s="4"/>
      <c r="F1" s="4"/>
      <c r="G1" s="4"/>
      <c r="H1" s="5"/>
      <c r="I1" s="6"/>
      <c r="J1" s="7"/>
      <c r="K1" s="6"/>
      <c r="L1" s="8"/>
      <c r="M1" s="6"/>
      <c r="N1" s="6"/>
      <c r="O1" s="6"/>
      <c r="P1" s="6"/>
      <c r="Q1" s="7" t="s">
        <v>1</v>
      </c>
      <c r="R1" s="9"/>
      <c r="S1" s="10"/>
      <c r="T1" s="3"/>
      <c r="U1" s="3"/>
      <c r="V1" s="3"/>
      <c r="W1" s="3"/>
      <c r="X1" s="11"/>
      <c r="Y1" s="7"/>
      <c r="Z1" s="7"/>
      <c r="AA1" s="12"/>
      <c r="AB1" s="12"/>
      <c r="AC1" s="13" t="s">
        <v>2</v>
      </c>
      <c r="AD1" s="13" t="s">
        <v>3</v>
      </c>
      <c r="AE1" s="6" t="s">
        <v>4</v>
      </c>
      <c r="AF1" s="7"/>
      <c r="AG1" s="7"/>
      <c r="AH1" s="14"/>
      <c r="AI1" s="14"/>
    </row>
    <row r="2" spans="1:37" ht="13.5" customHeight="1" x14ac:dyDescent="0.55000000000000004">
      <c r="A2" s="15" t="s">
        <v>5</v>
      </c>
      <c r="B2" s="16" t="s">
        <v>6</v>
      </c>
      <c r="C2" s="16" t="s">
        <v>7</v>
      </c>
      <c r="D2" s="17"/>
      <c r="E2" s="18"/>
      <c r="F2" s="18"/>
      <c r="G2" s="18"/>
      <c r="H2" s="18"/>
      <c r="I2" s="18"/>
      <c r="J2" s="18"/>
      <c r="K2" s="18"/>
      <c r="L2" s="19"/>
      <c r="M2" s="20" t="s">
        <v>8</v>
      </c>
      <c r="N2" s="21"/>
      <c r="O2" s="22"/>
      <c r="P2" s="16" t="s">
        <v>9</v>
      </c>
      <c r="Q2" s="23" t="s">
        <v>10</v>
      </c>
      <c r="R2" s="24" t="s">
        <v>11</v>
      </c>
      <c r="S2" s="25" t="s">
        <v>12</v>
      </c>
      <c r="T2" s="26" t="s">
        <v>12</v>
      </c>
      <c r="U2" s="26" t="s">
        <v>13</v>
      </c>
      <c r="V2" s="26" t="s">
        <v>14</v>
      </c>
      <c r="W2" s="26" t="s">
        <v>13</v>
      </c>
      <c r="X2" s="15" t="s">
        <v>15</v>
      </c>
      <c r="Y2" s="26" t="s">
        <v>16</v>
      </c>
      <c r="Z2" s="26" t="s">
        <v>17</v>
      </c>
      <c r="AA2" s="27" t="s">
        <v>18</v>
      </c>
      <c r="AB2" s="28" t="s">
        <v>19</v>
      </c>
      <c r="AC2" s="16" t="s">
        <v>20</v>
      </c>
      <c r="AD2" s="16" t="s">
        <v>21</v>
      </c>
      <c r="AE2" s="16" t="s">
        <v>22</v>
      </c>
      <c r="AF2" s="16" t="s">
        <v>23</v>
      </c>
      <c r="AG2" s="16" t="s">
        <v>24</v>
      </c>
      <c r="AH2" s="16" t="s">
        <v>25</v>
      </c>
      <c r="AI2" s="16" t="s">
        <v>26</v>
      </c>
      <c r="AJ2" s="16" t="s">
        <v>27</v>
      </c>
      <c r="AK2" s="16" t="s">
        <v>28</v>
      </c>
    </row>
    <row r="3" spans="1:37" ht="42" customHeight="1" thickBot="1" x14ac:dyDescent="0.6">
      <c r="A3" s="29"/>
      <c r="B3" s="30"/>
      <c r="C3" s="30"/>
      <c r="D3" s="31" t="s">
        <v>29</v>
      </c>
      <c r="E3" s="32" t="s">
        <v>30</v>
      </c>
      <c r="F3" s="32" t="s">
        <v>31</v>
      </c>
      <c r="G3" s="32" t="s">
        <v>32</v>
      </c>
      <c r="H3" s="33" t="s">
        <v>33</v>
      </c>
      <c r="I3" s="34" t="s">
        <v>34</v>
      </c>
      <c r="J3" s="35" t="s">
        <v>35</v>
      </c>
      <c r="K3" s="36" t="s">
        <v>36</v>
      </c>
      <c r="L3" s="34" t="s">
        <v>37</v>
      </c>
      <c r="M3" s="36" t="s">
        <v>38</v>
      </c>
      <c r="N3" s="37" t="s">
        <v>39</v>
      </c>
      <c r="O3" s="37" t="s">
        <v>36</v>
      </c>
      <c r="P3" s="30"/>
      <c r="Q3" s="38"/>
      <c r="R3" s="39"/>
      <c r="S3" s="40" t="s">
        <v>40</v>
      </c>
      <c r="T3" s="41"/>
      <c r="U3" s="41"/>
      <c r="V3" s="41"/>
      <c r="W3" s="41"/>
      <c r="X3" s="29"/>
      <c r="Y3" s="41"/>
      <c r="Z3" s="41"/>
      <c r="AA3" s="42"/>
      <c r="AB3" s="43"/>
      <c r="AC3" s="30"/>
      <c r="AD3" s="30"/>
      <c r="AE3" s="30"/>
      <c r="AF3" s="30"/>
      <c r="AG3" s="30"/>
      <c r="AH3" s="30"/>
      <c r="AI3" s="30"/>
      <c r="AJ3" s="30"/>
      <c r="AK3" s="30"/>
    </row>
    <row r="4" spans="1:37" ht="41.25" customHeight="1" thickTop="1" x14ac:dyDescent="0.55000000000000004">
      <c r="A4" s="44" t="s">
        <v>41</v>
      </c>
      <c r="B4" s="45"/>
      <c r="C4" s="46"/>
      <c r="D4" s="47">
        <v>2955607</v>
      </c>
      <c r="E4" s="48">
        <f t="shared" ref="E4:E67" si="0">LEN(D4)</f>
        <v>7</v>
      </c>
      <c r="F4" s="49" t="str">
        <f t="shared" ref="F4:F67" si="1">IF(E4=6,"1340"&amp;D4,"134"&amp;D4)</f>
        <v>1342955607</v>
      </c>
      <c r="G4" s="50" t="str">
        <f t="shared" ref="G4:G67" si="2">IF(F4=F3,"二重","　")</f>
        <v>　</v>
      </c>
      <c r="H4" s="51" t="s">
        <v>42</v>
      </c>
      <c r="I4" s="45" t="s">
        <v>43</v>
      </c>
      <c r="J4" s="52" t="s">
        <v>44</v>
      </c>
      <c r="K4" s="52" t="s">
        <v>45</v>
      </c>
      <c r="L4" s="45" t="s">
        <v>46</v>
      </c>
      <c r="M4" s="45" t="s">
        <v>47</v>
      </c>
      <c r="N4" s="53" t="s">
        <v>48</v>
      </c>
      <c r="O4" s="54" t="s">
        <v>49</v>
      </c>
      <c r="P4" s="45" t="s">
        <v>50</v>
      </c>
      <c r="Q4" s="45" t="s">
        <v>51</v>
      </c>
      <c r="R4" s="55">
        <v>39160</v>
      </c>
      <c r="S4" s="56">
        <v>39234</v>
      </c>
      <c r="T4" s="57">
        <v>39234</v>
      </c>
      <c r="U4" s="46" t="s">
        <v>52</v>
      </c>
      <c r="V4" s="58">
        <v>45748</v>
      </c>
      <c r="W4" s="59" t="s">
        <v>53</v>
      </c>
      <c r="X4" s="46" t="s">
        <v>54</v>
      </c>
      <c r="Y4" s="60">
        <v>1</v>
      </c>
      <c r="Z4" s="60">
        <v>1</v>
      </c>
      <c r="AA4" s="60">
        <v>41906</v>
      </c>
      <c r="AB4" s="60"/>
      <c r="AC4" s="45" t="s">
        <v>55</v>
      </c>
      <c r="AD4" s="45" t="s">
        <v>56</v>
      </c>
      <c r="AE4" s="45"/>
      <c r="AF4" s="60"/>
      <c r="AG4" s="60"/>
      <c r="AH4" s="60"/>
      <c r="AI4" s="60"/>
      <c r="AJ4" s="61"/>
      <c r="AK4" s="61"/>
    </row>
    <row r="5" spans="1:37" ht="27" customHeight="1" x14ac:dyDescent="0.55000000000000004">
      <c r="A5" s="62" t="s">
        <v>57</v>
      </c>
      <c r="B5" s="63"/>
      <c r="C5" s="64" t="s">
        <v>58</v>
      </c>
      <c r="D5" s="65">
        <v>2951184</v>
      </c>
      <c r="E5" s="48">
        <f t="shared" si="0"/>
        <v>7</v>
      </c>
      <c r="F5" s="49" t="str">
        <f t="shared" si="1"/>
        <v>1342951184</v>
      </c>
      <c r="G5" s="50" t="str">
        <f t="shared" si="2"/>
        <v>　</v>
      </c>
      <c r="H5" s="13" t="s">
        <v>59</v>
      </c>
      <c r="I5" s="13" t="s">
        <v>60</v>
      </c>
      <c r="J5" s="66" t="s">
        <v>44</v>
      </c>
      <c r="K5" s="13" t="s">
        <v>61</v>
      </c>
      <c r="L5" s="13" t="s">
        <v>62</v>
      </c>
      <c r="M5" s="13" t="s">
        <v>63</v>
      </c>
      <c r="N5" s="67"/>
      <c r="O5" s="67"/>
      <c r="P5" s="13" t="s">
        <v>64</v>
      </c>
      <c r="Q5" s="66"/>
      <c r="R5" s="68">
        <v>39107</v>
      </c>
      <c r="S5" s="69">
        <v>38808</v>
      </c>
      <c r="T5" s="69">
        <v>39114</v>
      </c>
      <c r="U5" s="64" t="s">
        <v>65</v>
      </c>
      <c r="V5" s="64"/>
      <c r="W5" s="64"/>
      <c r="X5" s="70" t="s">
        <v>54</v>
      </c>
      <c r="Y5" s="63">
        <v>1</v>
      </c>
      <c r="Z5" s="63">
        <v>1</v>
      </c>
      <c r="AA5" s="63">
        <v>41902</v>
      </c>
      <c r="AB5" s="63">
        <v>42306</v>
      </c>
      <c r="AC5" s="13" t="s">
        <v>66</v>
      </c>
      <c r="AD5" s="13"/>
      <c r="AE5" s="13"/>
      <c r="AF5" s="63"/>
      <c r="AG5" s="63"/>
      <c r="AH5" s="63"/>
      <c r="AI5" s="63"/>
      <c r="AJ5" s="71"/>
      <c r="AK5" s="71"/>
    </row>
    <row r="6" spans="1:37" ht="40.5" customHeight="1" x14ac:dyDescent="0.55000000000000004">
      <c r="A6" s="62" t="s">
        <v>67</v>
      </c>
      <c r="B6" s="13"/>
      <c r="C6" s="70"/>
      <c r="D6" s="65">
        <v>2951200</v>
      </c>
      <c r="E6" s="48">
        <f t="shared" si="0"/>
        <v>7</v>
      </c>
      <c r="F6" s="49" t="str">
        <f t="shared" si="1"/>
        <v>1342951200</v>
      </c>
      <c r="G6" s="50" t="str">
        <f t="shared" si="2"/>
        <v>　</v>
      </c>
      <c r="H6" s="72" t="s">
        <v>68</v>
      </c>
      <c r="I6" s="13" t="s">
        <v>69</v>
      </c>
      <c r="J6" s="66" t="s">
        <v>44</v>
      </c>
      <c r="K6" s="13" t="s">
        <v>70</v>
      </c>
      <c r="L6" s="13" t="s">
        <v>71</v>
      </c>
      <c r="M6" s="13" t="s">
        <v>72</v>
      </c>
      <c r="N6" s="73" t="s">
        <v>69</v>
      </c>
      <c r="O6" s="73" t="s">
        <v>73</v>
      </c>
      <c r="P6" s="13" t="s">
        <v>74</v>
      </c>
      <c r="Q6" s="66" t="s">
        <v>75</v>
      </c>
      <c r="R6" s="74">
        <v>39022</v>
      </c>
      <c r="S6" s="69">
        <v>39114</v>
      </c>
      <c r="T6" s="69">
        <v>39114</v>
      </c>
      <c r="U6" s="70" t="s">
        <v>76</v>
      </c>
      <c r="V6" s="69">
        <v>45658</v>
      </c>
      <c r="W6" s="64" t="s">
        <v>77</v>
      </c>
      <c r="X6" s="70" t="s">
        <v>54</v>
      </c>
      <c r="Y6" s="63">
        <v>1</v>
      </c>
      <c r="Z6" s="63">
        <v>1</v>
      </c>
      <c r="AA6" s="63">
        <v>41902</v>
      </c>
      <c r="AB6" s="63"/>
      <c r="AC6" s="13"/>
      <c r="AD6" s="13"/>
      <c r="AE6" s="13"/>
      <c r="AF6" s="63"/>
      <c r="AG6" s="63"/>
      <c r="AH6" s="63"/>
      <c r="AI6" s="63"/>
      <c r="AJ6" s="71"/>
      <c r="AK6" s="71"/>
    </row>
    <row r="7" spans="1:37" ht="27" customHeight="1" x14ac:dyDescent="0.55000000000000004">
      <c r="A7" s="62" t="s">
        <v>78</v>
      </c>
      <c r="B7" s="63"/>
      <c r="C7" s="64" t="s">
        <v>58</v>
      </c>
      <c r="D7" s="65">
        <v>2951283</v>
      </c>
      <c r="E7" s="48">
        <f t="shared" si="0"/>
        <v>7</v>
      </c>
      <c r="F7" s="49" t="str">
        <f t="shared" si="1"/>
        <v>1342951283</v>
      </c>
      <c r="G7" s="50" t="str">
        <f t="shared" si="2"/>
        <v>　</v>
      </c>
      <c r="H7" s="13" t="s">
        <v>79</v>
      </c>
      <c r="I7" s="13" t="s">
        <v>80</v>
      </c>
      <c r="J7" s="66" t="s">
        <v>44</v>
      </c>
      <c r="K7" s="13" t="s">
        <v>81</v>
      </c>
      <c r="L7" s="13" t="s">
        <v>82</v>
      </c>
      <c r="M7" s="13" t="s">
        <v>83</v>
      </c>
      <c r="N7" s="67"/>
      <c r="O7" s="67"/>
      <c r="P7" s="13" t="s">
        <v>84</v>
      </c>
      <c r="Q7" s="66"/>
      <c r="R7" s="68">
        <v>39059</v>
      </c>
      <c r="S7" s="69">
        <v>38808</v>
      </c>
      <c r="T7" s="69">
        <v>39083</v>
      </c>
      <c r="U7" s="64" t="s">
        <v>85</v>
      </c>
      <c r="V7" s="64"/>
      <c r="W7" s="64"/>
      <c r="X7" s="70" t="s">
        <v>54</v>
      </c>
      <c r="Y7" s="63">
        <v>1</v>
      </c>
      <c r="Z7" s="63">
        <v>1</v>
      </c>
      <c r="AA7" s="75">
        <v>41901</v>
      </c>
      <c r="AB7" s="63">
        <v>42002</v>
      </c>
      <c r="AC7" s="13" t="s">
        <v>86</v>
      </c>
      <c r="AD7" s="13"/>
      <c r="AE7" s="13"/>
      <c r="AF7" s="63"/>
      <c r="AG7" s="63"/>
      <c r="AH7" s="63"/>
      <c r="AI7" s="63"/>
      <c r="AJ7" s="71"/>
      <c r="AK7" s="71"/>
    </row>
    <row r="8" spans="1:37" ht="27" customHeight="1" x14ac:dyDescent="0.55000000000000004">
      <c r="A8" s="62" t="s">
        <v>87</v>
      </c>
      <c r="B8" s="63"/>
      <c r="C8" s="70"/>
      <c r="D8" s="65">
        <v>2951333</v>
      </c>
      <c r="E8" s="48">
        <f t="shared" si="0"/>
        <v>7</v>
      </c>
      <c r="F8" s="49" t="str">
        <f t="shared" si="1"/>
        <v>1342951333</v>
      </c>
      <c r="G8" s="50" t="str">
        <f t="shared" si="2"/>
        <v>　</v>
      </c>
      <c r="H8" s="72" t="s">
        <v>88</v>
      </c>
      <c r="I8" s="13" t="s">
        <v>89</v>
      </c>
      <c r="J8" s="66" t="s">
        <v>44</v>
      </c>
      <c r="K8" s="13" t="s">
        <v>90</v>
      </c>
      <c r="L8" s="13" t="s">
        <v>91</v>
      </c>
      <c r="M8" s="13" t="s">
        <v>92</v>
      </c>
      <c r="N8" s="73" t="s">
        <v>89</v>
      </c>
      <c r="O8" s="73" t="s">
        <v>93</v>
      </c>
      <c r="P8" s="13" t="s">
        <v>94</v>
      </c>
      <c r="Q8" s="66"/>
      <c r="R8" s="74">
        <v>39022</v>
      </c>
      <c r="S8" s="69">
        <v>39114</v>
      </c>
      <c r="T8" s="69">
        <v>39114</v>
      </c>
      <c r="U8" s="70" t="s">
        <v>76</v>
      </c>
      <c r="V8" s="69">
        <v>45658</v>
      </c>
      <c r="W8" s="64" t="s">
        <v>95</v>
      </c>
      <c r="X8" s="70" t="s">
        <v>54</v>
      </c>
      <c r="Y8" s="63">
        <v>1</v>
      </c>
      <c r="Z8" s="63">
        <v>1</v>
      </c>
      <c r="AA8" s="63">
        <v>41902</v>
      </c>
      <c r="AB8" s="63"/>
      <c r="AC8" s="13"/>
      <c r="AD8" s="13"/>
      <c r="AE8" s="13"/>
      <c r="AF8" s="63"/>
      <c r="AG8" s="63"/>
      <c r="AH8" s="63"/>
      <c r="AI8" s="63"/>
      <c r="AJ8" s="71"/>
      <c r="AK8" s="71"/>
    </row>
    <row r="9" spans="1:37" ht="67.5" customHeight="1" x14ac:dyDescent="0.55000000000000004">
      <c r="A9" s="62" t="s">
        <v>96</v>
      </c>
      <c r="B9" s="13"/>
      <c r="C9" s="70"/>
      <c r="D9" s="65">
        <v>2955334</v>
      </c>
      <c r="E9" s="48">
        <f t="shared" si="0"/>
        <v>7</v>
      </c>
      <c r="F9" s="49" t="str">
        <f t="shared" si="1"/>
        <v>1342955334</v>
      </c>
      <c r="G9" s="50" t="str">
        <f t="shared" si="2"/>
        <v>　</v>
      </c>
      <c r="H9" s="72" t="s">
        <v>97</v>
      </c>
      <c r="I9" s="13" t="s">
        <v>98</v>
      </c>
      <c r="J9" s="66" t="s">
        <v>44</v>
      </c>
      <c r="K9" s="13" t="s">
        <v>99</v>
      </c>
      <c r="L9" s="13" t="s">
        <v>100</v>
      </c>
      <c r="M9" s="13" t="s">
        <v>101</v>
      </c>
      <c r="N9" s="73" t="s">
        <v>102</v>
      </c>
      <c r="O9" s="73" t="s">
        <v>103</v>
      </c>
      <c r="P9" s="13" t="s">
        <v>104</v>
      </c>
      <c r="Q9" s="13" t="s">
        <v>105</v>
      </c>
      <c r="R9" s="74">
        <v>39045</v>
      </c>
      <c r="S9" s="69">
        <v>39114</v>
      </c>
      <c r="T9" s="69">
        <v>39114</v>
      </c>
      <c r="U9" s="70" t="s">
        <v>76</v>
      </c>
      <c r="V9" s="69">
        <v>45658</v>
      </c>
      <c r="W9" s="64" t="s">
        <v>106</v>
      </c>
      <c r="X9" s="70" t="s">
        <v>54</v>
      </c>
      <c r="Y9" s="63">
        <v>1</v>
      </c>
      <c r="Z9" s="63">
        <v>1</v>
      </c>
      <c r="AA9" s="63">
        <v>41902</v>
      </c>
      <c r="AB9" s="63"/>
      <c r="AC9" s="13" t="s">
        <v>107</v>
      </c>
      <c r="AD9" s="13" t="s">
        <v>108</v>
      </c>
      <c r="AE9" s="13" t="s">
        <v>109</v>
      </c>
      <c r="AF9" s="13" t="s">
        <v>110</v>
      </c>
      <c r="AG9" s="63"/>
      <c r="AH9" s="63"/>
      <c r="AI9" s="63"/>
      <c r="AJ9" s="71"/>
      <c r="AK9" s="71"/>
    </row>
    <row r="10" spans="1:37" ht="40.5" customHeight="1" x14ac:dyDescent="0.55000000000000004">
      <c r="A10" s="62" t="s">
        <v>111</v>
      </c>
      <c r="B10" s="13"/>
      <c r="C10" s="64"/>
      <c r="D10" s="65">
        <v>2951622</v>
      </c>
      <c r="E10" s="48">
        <f t="shared" si="0"/>
        <v>7</v>
      </c>
      <c r="F10" s="49" t="str">
        <f t="shared" si="1"/>
        <v>1342951622</v>
      </c>
      <c r="G10" s="50" t="str">
        <f t="shared" si="2"/>
        <v>　</v>
      </c>
      <c r="H10" s="72" t="s">
        <v>112</v>
      </c>
      <c r="I10" s="13" t="s">
        <v>113</v>
      </c>
      <c r="J10" s="66" t="s">
        <v>44</v>
      </c>
      <c r="K10" s="13" t="s">
        <v>114</v>
      </c>
      <c r="L10" s="13" t="s">
        <v>115</v>
      </c>
      <c r="M10" s="13" t="s">
        <v>116</v>
      </c>
      <c r="N10" s="73" t="s">
        <v>113</v>
      </c>
      <c r="O10" s="73" t="s">
        <v>117</v>
      </c>
      <c r="P10" s="13" t="s">
        <v>118</v>
      </c>
      <c r="Q10" s="13" t="s">
        <v>119</v>
      </c>
      <c r="R10" s="68">
        <v>39039</v>
      </c>
      <c r="S10" s="69">
        <v>38808</v>
      </c>
      <c r="T10" s="69">
        <v>39083</v>
      </c>
      <c r="U10" s="64" t="s">
        <v>120</v>
      </c>
      <c r="V10" s="69">
        <v>45658</v>
      </c>
      <c r="W10" s="64" t="s">
        <v>121</v>
      </c>
      <c r="X10" s="70" t="s">
        <v>54</v>
      </c>
      <c r="Y10" s="63">
        <v>1</v>
      </c>
      <c r="Z10" s="63">
        <v>1</v>
      </c>
      <c r="AA10" s="75">
        <v>41901</v>
      </c>
      <c r="AB10" s="63"/>
      <c r="AC10" s="13" t="s">
        <v>122</v>
      </c>
      <c r="AD10" s="13"/>
      <c r="AE10" s="13"/>
      <c r="AF10" s="63"/>
      <c r="AG10" s="63"/>
      <c r="AH10" s="63"/>
      <c r="AI10" s="63"/>
      <c r="AJ10" s="71"/>
      <c r="AK10" s="71"/>
    </row>
    <row r="11" spans="1:37" ht="27" customHeight="1" x14ac:dyDescent="0.55000000000000004">
      <c r="A11" s="62" t="s">
        <v>123</v>
      </c>
      <c r="B11" s="63"/>
      <c r="C11" s="70"/>
      <c r="D11" s="65">
        <v>2951630</v>
      </c>
      <c r="E11" s="48">
        <f t="shared" si="0"/>
        <v>7</v>
      </c>
      <c r="F11" s="49" t="str">
        <f t="shared" si="1"/>
        <v>1342951630</v>
      </c>
      <c r="G11" s="50" t="str">
        <f t="shared" si="2"/>
        <v>　</v>
      </c>
      <c r="H11" s="72" t="s">
        <v>124</v>
      </c>
      <c r="I11" s="13" t="s">
        <v>125</v>
      </c>
      <c r="J11" s="66" t="s">
        <v>44</v>
      </c>
      <c r="K11" s="66" t="s">
        <v>126</v>
      </c>
      <c r="L11" s="13" t="s">
        <v>127</v>
      </c>
      <c r="M11" s="13" t="s">
        <v>128</v>
      </c>
      <c r="N11" s="73" t="s">
        <v>125</v>
      </c>
      <c r="O11" s="76" t="s">
        <v>129</v>
      </c>
      <c r="P11" s="13" t="s">
        <v>130</v>
      </c>
      <c r="Q11" s="66"/>
      <c r="R11" s="74">
        <v>39163</v>
      </c>
      <c r="S11" s="69">
        <v>39234</v>
      </c>
      <c r="T11" s="69">
        <v>39234</v>
      </c>
      <c r="U11" s="70" t="s">
        <v>52</v>
      </c>
      <c r="V11" s="69">
        <v>45748</v>
      </c>
      <c r="W11" s="64" t="s">
        <v>131</v>
      </c>
      <c r="X11" s="70" t="s">
        <v>54</v>
      </c>
      <c r="Y11" s="63">
        <v>1</v>
      </c>
      <c r="Z11" s="63">
        <v>1</v>
      </c>
      <c r="AA11" s="63">
        <v>41906</v>
      </c>
      <c r="AB11" s="63"/>
      <c r="AC11" s="13"/>
      <c r="AD11" s="13"/>
      <c r="AE11" s="13"/>
      <c r="AF11" s="63"/>
      <c r="AG11" s="63"/>
      <c r="AH11" s="63"/>
      <c r="AI11" s="63"/>
      <c r="AJ11" s="71"/>
      <c r="AK11" s="71"/>
    </row>
    <row r="12" spans="1:37" ht="67.5" customHeight="1" x14ac:dyDescent="0.55000000000000004">
      <c r="A12" s="62" t="s">
        <v>132</v>
      </c>
      <c r="B12" s="63"/>
      <c r="C12" s="64"/>
      <c r="D12" s="65">
        <v>2955342</v>
      </c>
      <c r="E12" s="48">
        <f t="shared" si="0"/>
        <v>7</v>
      </c>
      <c r="F12" s="49" t="str">
        <f t="shared" si="1"/>
        <v>1342955342</v>
      </c>
      <c r="G12" s="50" t="str">
        <f t="shared" si="2"/>
        <v>　</v>
      </c>
      <c r="H12" s="72" t="s">
        <v>133</v>
      </c>
      <c r="I12" s="13" t="s">
        <v>80</v>
      </c>
      <c r="J12" s="66" t="s">
        <v>44</v>
      </c>
      <c r="K12" s="13" t="s">
        <v>134</v>
      </c>
      <c r="L12" s="13" t="s">
        <v>135</v>
      </c>
      <c r="M12" s="13" t="s">
        <v>101</v>
      </c>
      <c r="N12" s="73" t="s">
        <v>102</v>
      </c>
      <c r="O12" s="73" t="s">
        <v>103</v>
      </c>
      <c r="P12" s="13" t="s">
        <v>136</v>
      </c>
      <c r="Q12" s="13" t="s">
        <v>137</v>
      </c>
      <c r="R12" s="68">
        <v>39080</v>
      </c>
      <c r="S12" s="69">
        <v>39173</v>
      </c>
      <c r="T12" s="69">
        <v>39173</v>
      </c>
      <c r="U12" s="64" t="s">
        <v>138</v>
      </c>
      <c r="V12" s="69">
        <v>45748</v>
      </c>
      <c r="W12" s="64" t="s">
        <v>139</v>
      </c>
      <c r="X12" s="70" t="s">
        <v>54</v>
      </c>
      <c r="Y12" s="63">
        <v>1</v>
      </c>
      <c r="Z12" s="63">
        <v>1</v>
      </c>
      <c r="AA12" s="63">
        <v>41904</v>
      </c>
      <c r="AB12" s="63"/>
      <c r="AC12" s="13" t="s">
        <v>140</v>
      </c>
      <c r="AD12" s="13" t="s">
        <v>141</v>
      </c>
      <c r="AE12" s="13" t="s">
        <v>109</v>
      </c>
      <c r="AF12" s="13" t="s">
        <v>110</v>
      </c>
      <c r="AG12" s="63"/>
      <c r="AH12" s="63"/>
      <c r="AI12" s="63"/>
      <c r="AJ12" s="71"/>
      <c r="AK12" s="71"/>
    </row>
    <row r="13" spans="1:37" ht="48" customHeight="1" x14ac:dyDescent="0.55000000000000004">
      <c r="A13" s="62" t="s">
        <v>142</v>
      </c>
      <c r="B13" s="13"/>
      <c r="C13" s="77"/>
      <c r="D13" s="65">
        <v>2951796</v>
      </c>
      <c r="E13" s="48">
        <f t="shared" si="0"/>
        <v>7</v>
      </c>
      <c r="F13" s="49" t="str">
        <f t="shared" si="1"/>
        <v>1342951796</v>
      </c>
      <c r="G13" s="50" t="str">
        <f t="shared" si="2"/>
        <v>　</v>
      </c>
      <c r="H13" s="72" t="s">
        <v>143</v>
      </c>
      <c r="I13" s="78" t="s">
        <v>144</v>
      </c>
      <c r="J13" s="66" t="s">
        <v>44</v>
      </c>
      <c r="K13" s="13" t="s">
        <v>145</v>
      </c>
      <c r="L13" s="13" t="s">
        <v>146</v>
      </c>
      <c r="M13" s="13" t="s">
        <v>147</v>
      </c>
      <c r="N13" s="73" t="s">
        <v>148</v>
      </c>
      <c r="O13" s="73" t="s">
        <v>149</v>
      </c>
      <c r="P13" s="13" t="s">
        <v>150</v>
      </c>
      <c r="Q13" s="13" t="s">
        <v>151</v>
      </c>
      <c r="R13" s="74">
        <v>39423</v>
      </c>
      <c r="S13" s="79">
        <v>39479</v>
      </c>
      <c r="T13" s="79">
        <v>39479</v>
      </c>
      <c r="U13" s="77" t="s">
        <v>152</v>
      </c>
      <c r="V13" s="69">
        <v>46023</v>
      </c>
      <c r="W13" s="64" t="s">
        <v>153</v>
      </c>
      <c r="X13" s="70" t="s">
        <v>54</v>
      </c>
      <c r="Y13" s="63">
        <v>1</v>
      </c>
      <c r="Z13" s="63">
        <v>1</v>
      </c>
      <c r="AA13" s="63">
        <v>42002</v>
      </c>
      <c r="AB13" s="63"/>
      <c r="AC13" s="13"/>
      <c r="AD13" s="13"/>
      <c r="AE13" s="13"/>
      <c r="AF13" s="63"/>
      <c r="AG13" s="63"/>
      <c r="AH13" s="63"/>
      <c r="AI13" s="63"/>
      <c r="AJ13" s="71"/>
      <c r="AK13" s="71"/>
    </row>
    <row r="14" spans="1:37" ht="40.5" customHeight="1" x14ac:dyDescent="0.55000000000000004">
      <c r="A14" s="62" t="s">
        <v>154</v>
      </c>
      <c r="B14" s="63"/>
      <c r="C14" s="70"/>
      <c r="D14" s="65">
        <v>2952083</v>
      </c>
      <c r="E14" s="48">
        <f t="shared" si="0"/>
        <v>7</v>
      </c>
      <c r="F14" s="49" t="str">
        <f t="shared" si="1"/>
        <v>1342952083</v>
      </c>
      <c r="G14" s="50" t="str">
        <f t="shared" si="2"/>
        <v>　</v>
      </c>
      <c r="H14" s="72" t="s">
        <v>155</v>
      </c>
      <c r="I14" s="13" t="s">
        <v>80</v>
      </c>
      <c r="J14" s="66" t="s">
        <v>44</v>
      </c>
      <c r="K14" s="13" t="s">
        <v>156</v>
      </c>
      <c r="L14" s="13" t="s">
        <v>157</v>
      </c>
      <c r="M14" s="13" t="s">
        <v>72</v>
      </c>
      <c r="N14" s="73" t="s">
        <v>69</v>
      </c>
      <c r="O14" s="73" t="s">
        <v>73</v>
      </c>
      <c r="P14" s="13" t="s">
        <v>158</v>
      </c>
      <c r="Q14" s="13" t="s">
        <v>159</v>
      </c>
      <c r="R14" s="74">
        <v>39022</v>
      </c>
      <c r="S14" s="69">
        <v>39114</v>
      </c>
      <c r="T14" s="69">
        <v>39114</v>
      </c>
      <c r="U14" s="70" t="s">
        <v>76</v>
      </c>
      <c r="V14" s="69">
        <v>45658</v>
      </c>
      <c r="W14" s="64" t="s">
        <v>160</v>
      </c>
      <c r="X14" s="70" t="s">
        <v>54</v>
      </c>
      <c r="Y14" s="63">
        <v>1</v>
      </c>
      <c r="Z14" s="63">
        <v>1</v>
      </c>
      <c r="AA14" s="63">
        <v>41902</v>
      </c>
      <c r="AB14" s="63"/>
      <c r="AC14" s="13"/>
      <c r="AD14" s="13"/>
      <c r="AE14" s="13"/>
      <c r="AF14" s="63"/>
      <c r="AG14" s="63"/>
      <c r="AH14" s="63"/>
      <c r="AI14" s="63"/>
      <c r="AJ14" s="71"/>
      <c r="AK14" s="71"/>
    </row>
    <row r="15" spans="1:37" ht="27" customHeight="1" x14ac:dyDescent="0.55000000000000004">
      <c r="A15" s="62" t="s">
        <v>161</v>
      </c>
      <c r="B15" s="13"/>
      <c r="C15" s="64" t="s">
        <v>162</v>
      </c>
      <c r="D15" s="65">
        <v>2952133</v>
      </c>
      <c r="E15" s="48">
        <f t="shared" si="0"/>
        <v>7</v>
      </c>
      <c r="F15" s="49" t="str">
        <f t="shared" si="1"/>
        <v>1342952133</v>
      </c>
      <c r="G15" s="50" t="str">
        <f t="shared" si="2"/>
        <v>　</v>
      </c>
      <c r="H15" s="13" t="s">
        <v>163</v>
      </c>
      <c r="I15" s="13" t="s">
        <v>164</v>
      </c>
      <c r="J15" s="66" t="s">
        <v>44</v>
      </c>
      <c r="K15" s="13" t="s">
        <v>165</v>
      </c>
      <c r="L15" s="13" t="s">
        <v>166</v>
      </c>
      <c r="M15" s="13" t="s">
        <v>167</v>
      </c>
      <c r="N15" s="67" t="s">
        <v>80</v>
      </c>
      <c r="O15" s="67" t="s">
        <v>168</v>
      </c>
      <c r="P15" s="13" t="s">
        <v>169</v>
      </c>
      <c r="Q15" s="66"/>
      <c r="R15" s="68">
        <v>38993</v>
      </c>
      <c r="S15" s="68">
        <v>39052</v>
      </c>
      <c r="T15" s="69">
        <v>39052</v>
      </c>
      <c r="U15" s="64" t="s">
        <v>170</v>
      </c>
      <c r="V15" s="69">
        <v>41244</v>
      </c>
      <c r="W15" s="64" t="s">
        <v>171</v>
      </c>
      <c r="X15" s="70" t="s">
        <v>54</v>
      </c>
      <c r="Y15" s="63">
        <v>1</v>
      </c>
      <c r="Z15" s="63">
        <v>1</v>
      </c>
      <c r="AA15" s="63">
        <v>41812</v>
      </c>
      <c r="AB15" s="63">
        <v>43011</v>
      </c>
      <c r="AC15" s="13" t="s">
        <v>172</v>
      </c>
      <c r="AD15" s="13"/>
      <c r="AE15" s="13"/>
      <c r="AF15" s="63"/>
      <c r="AG15" s="63"/>
      <c r="AH15" s="63"/>
      <c r="AI15" s="63"/>
      <c r="AJ15" s="71"/>
      <c r="AK15" s="71"/>
    </row>
    <row r="16" spans="1:37" ht="117" x14ac:dyDescent="0.55000000000000004">
      <c r="A16" s="62" t="s">
        <v>173</v>
      </c>
      <c r="B16" s="13"/>
      <c r="C16" s="64"/>
      <c r="D16" s="65">
        <v>2956373</v>
      </c>
      <c r="E16" s="48">
        <f t="shared" si="0"/>
        <v>7</v>
      </c>
      <c r="F16" s="49" t="str">
        <f t="shared" si="1"/>
        <v>1342956373</v>
      </c>
      <c r="G16" s="50" t="str">
        <f t="shared" si="2"/>
        <v>　</v>
      </c>
      <c r="H16" s="72" t="s">
        <v>174</v>
      </c>
      <c r="I16" s="13" t="s">
        <v>80</v>
      </c>
      <c r="J16" s="66" t="s">
        <v>44</v>
      </c>
      <c r="K16" s="13" t="s">
        <v>175</v>
      </c>
      <c r="L16" s="13" t="s">
        <v>176</v>
      </c>
      <c r="M16" s="13" t="s">
        <v>177</v>
      </c>
      <c r="N16" s="73" t="s">
        <v>80</v>
      </c>
      <c r="O16" s="73" t="s">
        <v>178</v>
      </c>
      <c r="P16" s="13" t="s">
        <v>179</v>
      </c>
      <c r="Q16" s="13" t="s">
        <v>180</v>
      </c>
      <c r="R16" s="68">
        <v>39036</v>
      </c>
      <c r="S16" s="69">
        <v>38808</v>
      </c>
      <c r="T16" s="69">
        <v>39083</v>
      </c>
      <c r="U16" s="64" t="s">
        <v>120</v>
      </c>
      <c r="V16" s="69">
        <v>45658</v>
      </c>
      <c r="W16" s="64" t="s">
        <v>181</v>
      </c>
      <c r="X16" s="70" t="s">
        <v>54</v>
      </c>
      <c r="Y16" s="63">
        <v>1</v>
      </c>
      <c r="Z16" s="63">
        <v>1</v>
      </c>
      <c r="AA16" s="75">
        <v>41901</v>
      </c>
      <c r="AB16" s="63"/>
      <c r="AC16" s="13" t="s">
        <v>182</v>
      </c>
      <c r="AD16" s="13" t="s">
        <v>183</v>
      </c>
      <c r="AE16" s="13" t="s">
        <v>184</v>
      </c>
      <c r="AF16" s="63"/>
      <c r="AG16" s="63"/>
      <c r="AH16" s="63"/>
      <c r="AI16" s="63"/>
      <c r="AJ16" s="71"/>
      <c r="AK16" s="71"/>
    </row>
    <row r="17" spans="1:37" ht="27" customHeight="1" x14ac:dyDescent="0.55000000000000004">
      <c r="A17" s="62" t="s">
        <v>185</v>
      </c>
      <c r="B17" s="63"/>
      <c r="C17" s="64"/>
      <c r="D17" s="65">
        <v>2952182</v>
      </c>
      <c r="E17" s="48">
        <f t="shared" si="0"/>
        <v>7</v>
      </c>
      <c r="F17" s="49" t="str">
        <f t="shared" si="1"/>
        <v>1342952182</v>
      </c>
      <c r="G17" s="50" t="str">
        <f t="shared" si="2"/>
        <v>　</v>
      </c>
      <c r="H17" s="72" t="s">
        <v>186</v>
      </c>
      <c r="I17" s="13" t="s">
        <v>164</v>
      </c>
      <c r="J17" s="66" t="s">
        <v>44</v>
      </c>
      <c r="K17" s="13" t="s">
        <v>187</v>
      </c>
      <c r="L17" s="13" t="s">
        <v>188</v>
      </c>
      <c r="M17" s="13" t="s">
        <v>189</v>
      </c>
      <c r="N17" s="73" t="s">
        <v>164</v>
      </c>
      <c r="O17" s="73" t="s">
        <v>190</v>
      </c>
      <c r="P17" s="13" t="s">
        <v>191</v>
      </c>
      <c r="Q17" s="66"/>
      <c r="R17" s="68">
        <v>39025</v>
      </c>
      <c r="S17" s="68">
        <v>38808</v>
      </c>
      <c r="T17" s="69">
        <v>39083</v>
      </c>
      <c r="U17" s="64" t="s">
        <v>120</v>
      </c>
      <c r="V17" s="69">
        <v>45658</v>
      </c>
      <c r="W17" s="64" t="s">
        <v>192</v>
      </c>
      <c r="X17" s="70" t="s">
        <v>54</v>
      </c>
      <c r="Y17" s="63">
        <v>1</v>
      </c>
      <c r="Z17" s="63">
        <v>1</v>
      </c>
      <c r="AA17" s="75">
        <v>41901</v>
      </c>
      <c r="AB17" s="63"/>
      <c r="AC17" s="13"/>
      <c r="AD17" s="13"/>
      <c r="AE17" s="13"/>
      <c r="AF17" s="63"/>
      <c r="AG17" s="63"/>
      <c r="AH17" s="63"/>
      <c r="AI17" s="63"/>
      <c r="AJ17" s="71"/>
      <c r="AK17" s="71"/>
    </row>
    <row r="18" spans="1:37" ht="94.5" customHeight="1" x14ac:dyDescent="0.55000000000000004">
      <c r="A18" s="62" t="s">
        <v>193</v>
      </c>
      <c r="B18" s="13"/>
      <c r="C18" s="64"/>
      <c r="D18" s="65">
        <v>2955599</v>
      </c>
      <c r="E18" s="48">
        <f t="shared" si="0"/>
        <v>7</v>
      </c>
      <c r="F18" s="49" t="str">
        <f t="shared" si="1"/>
        <v>1342955599</v>
      </c>
      <c r="G18" s="50" t="str">
        <f t="shared" si="2"/>
        <v>　</v>
      </c>
      <c r="H18" s="72" t="s">
        <v>194</v>
      </c>
      <c r="I18" s="13" t="s">
        <v>195</v>
      </c>
      <c r="J18" s="66" t="s">
        <v>44</v>
      </c>
      <c r="K18" s="13" t="s">
        <v>196</v>
      </c>
      <c r="L18" s="13" t="s">
        <v>197</v>
      </c>
      <c r="M18" s="72" t="s">
        <v>198</v>
      </c>
      <c r="N18" s="73" t="s">
        <v>199</v>
      </c>
      <c r="O18" s="73" t="s">
        <v>200</v>
      </c>
      <c r="P18" s="13" t="s">
        <v>201</v>
      </c>
      <c r="Q18" s="66"/>
      <c r="R18" s="68">
        <v>38972</v>
      </c>
      <c r="S18" s="68">
        <v>39052</v>
      </c>
      <c r="T18" s="69">
        <v>39052</v>
      </c>
      <c r="U18" s="64" t="s">
        <v>170</v>
      </c>
      <c r="V18" s="69">
        <v>45566</v>
      </c>
      <c r="W18" s="64" t="s">
        <v>202</v>
      </c>
      <c r="X18" s="70" t="s">
        <v>54</v>
      </c>
      <c r="Y18" s="63">
        <v>1</v>
      </c>
      <c r="Z18" s="63">
        <v>1</v>
      </c>
      <c r="AA18" s="63">
        <v>41812</v>
      </c>
      <c r="AB18" s="63"/>
      <c r="AC18" s="13" t="s">
        <v>203</v>
      </c>
      <c r="AD18" s="13" t="s">
        <v>204</v>
      </c>
      <c r="AE18" s="13" t="s">
        <v>205</v>
      </c>
      <c r="AF18" s="13" t="s">
        <v>206</v>
      </c>
      <c r="AG18" s="13" t="s">
        <v>207</v>
      </c>
      <c r="AH18" s="13" t="s">
        <v>208</v>
      </c>
      <c r="AI18" s="13" t="s">
        <v>208</v>
      </c>
      <c r="AJ18" s="13" t="s">
        <v>209</v>
      </c>
      <c r="AK18" s="13"/>
    </row>
    <row r="19" spans="1:37" ht="40.5" customHeight="1" x14ac:dyDescent="0.55000000000000004">
      <c r="A19" s="62" t="s">
        <v>210</v>
      </c>
      <c r="B19" s="13"/>
      <c r="C19" s="70"/>
      <c r="D19" s="65">
        <v>2952232</v>
      </c>
      <c r="E19" s="48">
        <f t="shared" si="0"/>
        <v>7</v>
      </c>
      <c r="F19" s="49" t="str">
        <f t="shared" si="1"/>
        <v>1342952232</v>
      </c>
      <c r="G19" s="50" t="str">
        <f t="shared" si="2"/>
        <v>　</v>
      </c>
      <c r="H19" s="72" t="s">
        <v>211</v>
      </c>
      <c r="I19" s="13" t="s">
        <v>212</v>
      </c>
      <c r="J19" s="66" t="s">
        <v>44</v>
      </c>
      <c r="K19" s="13" t="s">
        <v>213</v>
      </c>
      <c r="L19" s="13" t="s">
        <v>214</v>
      </c>
      <c r="M19" s="13" t="s">
        <v>72</v>
      </c>
      <c r="N19" s="73" t="s">
        <v>69</v>
      </c>
      <c r="O19" s="73" t="s">
        <v>73</v>
      </c>
      <c r="P19" s="13" t="s">
        <v>215</v>
      </c>
      <c r="Q19" s="13" t="s">
        <v>216</v>
      </c>
      <c r="R19" s="74">
        <v>39022</v>
      </c>
      <c r="S19" s="69">
        <v>39114</v>
      </c>
      <c r="T19" s="69">
        <v>39114</v>
      </c>
      <c r="U19" s="70" t="s">
        <v>76</v>
      </c>
      <c r="V19" s="69">
        <v>45658</v>
      </c>
      <c r="W19" s="64" t="s">
        <v>217</v>
      </c>
      <c r="X19" s="70" t="s">
        <v>54</v>
      </c>
      <c r="Y19" s="63">
        <v>1</v>
      </c>
      <c r="Z19" s="63">
        <v>1</v>
      </c>
      <c r="AA19" s="63">
        <v>41902</v>
      </c>
      <c r="AB19" s="63"/>
      <c r="AC19" s="13"/>
      <c r="AD19" s="13"/>
      <c r="AE19" s="13"/>
      <c r="AF19" s="63"/>
      <c r="AG19" s="63"/>
      <c r="AH19" s="63"/>
      <c r="AI19" s="63"/>
      <c r="AJ19" s="71"/>
      <c r="AK19" s="71"/>
    </row>
    <row r="20" spans="1:37" ht="51.75" customHeight="1" x14ac:dyDescent="0.55000000000000004">
      <c r="A20" s="62" t="s">
        <v>218</v>
      </c>
      <c r="B20" s="63"/>
      <c r="C20" s="70"/>
      <c r="D20" s="65">
        <v>2952299</v>
      </c>
      <c r="E20" s="48">
        <f t="shared" si="0"/>
        <v>7</v>
      </c>
      <c r="F20" s="49" t="str">
        <f t="shared" si="1"/>
        <v>1342952299</v>
      </c>
      <c r="G20" s="50" t="str">
        <f t="shared" si="2"/>
        <v>　</v>
      </c>
      <c r="H20" s="72" t="s">
        <v>219</v>
      </c>
      <c r="I20" s="13" t="s">
        <v>220</v>
      </c>
      <c r="J20" s="66" t="s">
        <v>44</v>
      </c>
      <c r="K20" s="66" t="s">
        <v>221</v>
      </c>
      <c r="L20" s="13" t="s">
        <v>222</v>
      </c>
      <c r="M20" s="13" t="s">
        <v>223</v>
      </c>
      <c r="N20" s="73" t="s">
        <v>220</v>
      </c>
      <c r="O20" s="76" t="s">
        <v>224</v>
      </c>
      <c r="P20" s="13" t="s">
        <v>225</v>
      </c>
      <c r="Q20" s="66"/>
      <c r="R20" s="79">
        <v>39173</v>
      </c>
      <c r="S20" s="69">
        <v>39234</v>
      </c>
      <c r="T20" s="69">
        <v>39234</v>
      </c>
      <c r="U20" s="70" t="s">
        <v>52</v>
      </c>
      <c r="V20" s="69">
        <v>45748</v>
      </c>
      <c r="W20" s="64" t="s">
        <v>226</v>
      </c>
      <c r="X20" s="70" t="s">
        <v>54</v>
      </c>
      <c r="Y20" s="63">
        <v>1</v>
      </c>
      <c r="Z20" s="63">
        <v>1</v>
      </c>
      <c r="AA20" s="63">
        <v>41906</v>
      </c>
      <c r="AB20" s="63"/>
      <c r="AC20" s="13" t="s">
        <v>227</v>
      </c>
      <c r="AD20" s="13"/>
      <c r="AE20" s="13"/>
      <c r="AF20" s="63"/>
      <c r="AG20" s="63"/>
      <c r="AH20" s="63"/>
      <c r="AI20" s="63"/>
      <c r="AJ20" s="71"/>
      <c r="AK20" s="71"/>
    </row>
    <row r="21" spans="1:37" ht="32.25" customHeight="1" x14ac:dyDescent="0.55000000000000004">
      <c r="A21" s="62" t="s">
        <v>228</v>
      </c>
      <c r="B21" s="13"/>
      <c r="C21" s="70"/>
      <c r="D21" s="65">
        <v>2952406</v>
      </c>
      <c r="E21" s="48">
        <f t="shared" si="0"/>
        <v>7</v>
      </c>
      <c r="F21" s="49" t="str">
        <f t="shared" si="1"/>
        <v>1342952406</v>
      </c>
      <c r="G21" s="50" t="str">
        <f t="shared" si="2"/>
        <v>　</v>
      </c>
      <c r="H21" s="72" t="s">
        <v>229</v>
      </c>
      <c r="I21" s="13" t="s">
        <v>230</v>
      </c>
      <c r="J21" s="66" t="s">
        <v>44</v>
      </c>
      <c r="K21" s="66" t="s">
        <v>231</v>
      </c>
      <c r="L21" s="13" t="s">
        <v>232</v>
      </c>
      <c r="M21" s="13" t="s">
        <v>233</v>
      </c>
      <c r="N21" s="73" t="s">
        <v>230</v>
      </c>
      <c r="O21" s="73" t="s">
        <v>234</v>
      </c>
      <c r="P21" s="13" t="s">
        <v>235</v>
      </c>
      <c r="Q21" s="13" t="s">
        <v>236</v>
      </c>
      <c r="R21" s="74">
        <v>39155</v>
      </c>
      <c r="S21" s="69">
        <v>39234</v>
      </c>
      <c r="T21" s="69">
        <v>39234</v>
      </c>
      <c r="U21" s="70" t="s">
        <v>52</v>
      </c>
      <c r="V21" s="69">
        <v>45748</v>
      </c>
      <c r="W21" s="64" t="s">
        <v>237</v>
      </c>
      <c r="X21" s="70" t="s">
        <v>54</v>
      </c>
      <c r="Y21" s="63">
        <v>1</v>
      </c>
      <c r="Z21" s="63">
        <v>1</v>
      </c>
      <c r="AA21" s="63">
        <v>41906</v>
      </c>
      <c r="AB21" s="63"/>
      <c r="AC21" s="13"/>
      <c r="AD21" s="13"/>
      <c r="AE21" s="13"/>
      <c r="AF21" s="63"/>
      <c r="AG21" s="63"/>
      <c r="AH21" s="63"/>
      <c r="AI21" s="63"/>
      <c r="AJ21" s="71"/>
      <c r="AK21" s="71"/>
    </row>
    <row r="22" spans="1:37" ht="54" customHeight="1" x14ac:dyDescent="0.55000000000000004">
      <c r="A22" s="62" t="s">
        <v>238</v>
      </c>
      <c r="B22" s="63"/>
      <c r="C22" s="64" t="s">
        <v>162</v>
      </c>
      <c r="D22" s="65">
        <v>2952430</v>
      </c>
      <c r="E22" s="48">
        <f t="shared" si="0"/>
        <v>7</v>
      </c>
      <c r="F22" s="49" t="str">
        <f t="shared" si="1"/>
        <v>1342952430</v>
      </c>
      <c r="G22" s="50" t="str">
        <f t="shared" si="2"/>
        <v>　</v>
      </c>
      <c r="H22" s="13" t="s">
        <v>239</v>
      </c>
      <c r="I22" s="13" t="s">
        <v>240</v>
      </c>
      <c r="J22" s="66" t="s">
        <v>44</v>
      </c>
      <c r="K22" s="13" t="s">
        <v>241</v>
      </c>
      <c r="L22" s="13" t="s">
        <v>242</v>
      </c>
      <c r="M22" s="13" t="s">
        <v>243</v>
      </c>
      <c r="N22" s="67" t="s">
        <v>80</v>
      </c>
      <c r="O22" s="67" t="s">
        <v>244</v>
      </c>
      <c r="P22" s="13" t="s">
        <v>245</v>
      </c>
      <c r="Q22" s="66" t="s">
        <v>246</v>
      </c>
      <c r="R22" s="68">
        <v>38972</v>
      </c>
      <c r="S22" s="68">
        <v>39052</v>
      </c>
      <c r="T22" s="69">
        <v>39052</v>
      </c>
      <c r="U22" s="64" t="s">
        <v>170</v>
      </c>
      <c r="V22" s="69">
        <v>41244</v>
      </c>
      <c r="W22" s="64" t="s">
        <v>171</v>
      </c>
      <c r="X22" s="70" t="s">
        <v>54</v>
      </c>
      <c r="Y22" s="63">
        <v>1</v>
      </c>
      <c r="Z22" s="63">
        <v>1</v>
      </c>
      <c r="AA22" s="63">
        <v>41812</v>
      </c>
      <c r="AB22" s="63">
        <v>43004</v>
      </c>
      <c r="AC22" s="13" t="s">
        <v>247</v>
      </c>
      <c r="AD22" s="13"/>
      <c r="AE22" s="13"/>
      <c r="AF22" s="63"/>
      <c r="AG22" s="63"/>
      <c r="AH22" s="63"/>
      <c r="AI22" s="63"/>
      <c r="AJ22" s="71"/>
      <c r="AK22" s="71"/>
    </row>
    <row r="23" spans="1:37" ht="27" customHeight="1" x14ac:dyDescent="0.55000000000000004">
      <c r="A23" s="62" t="s">
        <v>248</v>
      </c>
      <c r="B23" s="63"/>
      <c r="C23" s="64" t="s">
        <v>58</v>
      </c>
      <c r="D23" s="65">
        <v>2952455</v>
      </c>
      <c r="E23" s="48">
        <f t="shared" si="0"/>
        <v>7</v>
      </c>
      <c r="F23" s="49" t="str">
        <f t="shared" si="1"/>
        <v>1342952455</v>
      </c>
      <c r="G23" s="50" t="str">
        <f t="shared" si="2"/>
        <v>　</v>
      </c>
      <c r="H23" s="13" t="s">
        <v>249</v>
      </c>
      <c r="I23" s="13" t="s">
        <v>250</v>
      </c>
      <c r="J23" s="66" t="s">
        <v>44</v>
      </c>
      <c r="K23" s="13" t="s">
        <v>251</v>
      </c>
      <c r="L23" s="13" t="s">
        <v>252</v>
      </c>
      <c r="M23" s="13" t="s">
        <v>189</v>
      </c>
      <c r="N23" s="67"/>
      <c r="O23" s="67"/>
      <c r="P23" s="13" t="s">
        <v>253</v>
      </c>
      <c r="Q23" s="66"/>
      <c r="R23" s="68">
        <v>39025</v>
      </c>
      <c r="S23" s="69">
        <v>38808</v>
      </c>
      <c r="T23" s="69">
        <v>39083</v>
      </c>
      <c r="U23" s="64" t="s">
        <v>254</v>
      </c>
      <c r="V23" s="64"/>
      <c r="W23" s="64"/>
      <c r="X23" s="70" t="s">
        <v>54</v>
      </c>
      <c r="Y23" s="63">
        <v>1</v>
      </c>
      <c r="Z23" s="63">
        <v>1</v>
      </c>
      <c r="AA23" s="75">
        <v>41901</v>
      </c>
      <c r="AB23" s="63">
        <v>42306</v>
      </c>
      <c r="AC23" s="66" t="s">
        <v>255</v>
      </c>
      <c r="AD23" s="13"/>
      <c r="AE23" s="13"/>
      <c r="AF23" s="63"/>
      <c r="AG23" s="63"/>
      <c r="AH23" s="63"/>
      <c r="AI23" s="63"/>
      <c r="AJ23" s="71"/>
      <c r="AK23" s="71"/>
    </row>
    <row r="24" spans="1:37" ht="104" x14ac:dyDescent="0.55000000000000004">
      <c r="A24" s="62" t="s">
        <v>256</v>
      </c>
      <c r="B24" s="13"/>
      <c r="C24" s="77"/>
      <c r="D24" s="65">
        <v>2955870</v>
      </c>
      <c r="E24" s="48">
        <f t="shared" si="0"/>
        <v>7</v>
      </c>
      <c r="F24" s="49" t="str">
        <f t="shared" si="1"/>
        <v>1342955870</v>
      </c>
      <c r="G24" s="50" t="str">
        <f t="shared" si="2"/>
        <v>　</v>
      </c>
      <c r="H24" s="72" t="s">
        <v>257</v>
      </c>
      <c r="I24" s="13" t="s">
        <v>258</v>
      </c>
      <c r="J24" s="66" t="s">
        <v>44</v>
      </c>
      <c r="K24" s="13" t="s">
        <v>259</v>
      </c>
      <c r="L24" s="13" t="s">
        <v>260</v>
      </c>
      <c r="M24" s="13" t="s">
        <v>261</v>
      </c>
      <c r="N24" s="73" t="s">
        <v>262</v>
      </c>
      <c r="O24" s="73" t="s">
        <v>263</v>
      </c>
      <c r="P24" s="13" t="s">
        <v>264</v>
      </c>
      <c r="Q24" s="13" t="s">
        <v>265</v>
      </c>
      <c r="R24" s="68">
        <v>39025</v>
      </c>
      <c r="S24" s="69">
        <v>38808</v>
      </c>
      <c r="T24" s="69">
        <v>39083</v>
      </c>
      <c r="U24" s="64" t="s">
        <v>254</v>
      </c>
      <c r="V24" s="69">
        <v>45658</v>
      </c>
      <c r="W24" s="64" t="s">
        <v>266</v>
      </c>
      <c r="X24" s="70" t="s">
        <v>54</v>
      </c>
      <c r="Y24" s="63">
        <v>1</v>
      </c>
      <c r="Z24" s="63">
        <v>1</v>
      </c>
      <c r="AA24" s="75">
        <v>41901</v>
      </c>
      <c r="AB24" s="63"/>
      <c r="AC24" s="13" t="s">
        <v>267</v>
      </c>
      <c r="AD24" s="13" t="s">
        <v>268</v>
      </c>
      <c r="AE24" s="13" t="s">
        <v>269</v>
      </c>
      <c r="AF24" s="63"/>
      <c r="AG24" s="63"/>
      <c r="AH24" s="63"/>
      <c r="AI24" s="63"/>
      <c r="AJ24" s="71"/>
      <c r="AK24" s="71"/>
    </row>
    <row r="25" spans="1:37" ht="27" customHeight="1" x14ac:dyDescent="0.55000000000000004">
      <c r="A25" s="62" t="s">
        <v>270</v>
      </c>
      <c r="B25" s="13"/>
      <c r="C25" s="70"/>
      <c r="D25" s="65">
        <v>2952513</v>
      </c>
      <c r="E25" s="48">
        <f t="shared" si="0"/>
        <v>7</v>
      </c>
      <c r="F25" s="49" t="str">
        <f t="shared" si="1"/>
        <v>1342952513</v>
      </c>
      <c r="G25" s="50" t="str">
        <f t="shared" si="2"/>
        <v>　</v>
      </c>
      <c r="H25" s="72" t="s">
        <v>271</v>
      </c>
      <c r="I25" s="13" t="s">
        <v>272</v>
      </c>
      <c r="J25" s="66" t="s">
        <v>44</v>
      </c>
      <c r="K25" s="13" t="s">
        <v>273</v>
      </c>
      <c r="L25" s="13" t="s">
        <v>274</v>
      </c>
      <c r="M25" s="13" t="s">
        <v>275</v>
      </c>
      <c r="N25" s="73" t="s">
        <v>276</v>
      </c>
      <c r="O25" s="73" t="s">
        <v>277</v>
      </c>
      <c r="P25" s="13" t="s">
        <v>278</v>
      </c>
      <c r="Q25" s="13" t="s">
        <v>279</v>
      </c>
      <c r="R25" s="74">
        <v>39030</v>
      </c>
      <c r="S25" s="69">
        <v>39114</v>
      </c>
      <c r="T25" s="69">
        <v>39114</v>
      </c>
      <c r="U25" s="70" t="s">
        <v>76</v>
      </c>
      <c r="V25" s="69">
        <v>45658</v>
      </c>
      <c r="W25" s="64" t="s">
        <v>280</v>
      </c>
      <c r="X25" s="70" t="s">
        <v>54</v>
      </c>
      <c r="Y25" s="63">
        <v>1</v>
      </c>
      <c r="Z25" s="63">
        <v>1</v>
      </c>
      <c r="AA25" s="63">
        <v>41902</v>
      </c>
      <c r="AB25" s="63"/>
      <c r="AC25" s="13"/>
      <c r="AD25" s="13"/>
      <c r="AE25" s="13"/>
      <c r="AF25" s="63"/>
      <c r="AG25" s="63"/>
      <c r="AH25" s="63"/>
      <c r="AI25" s="63"/>
      <c r="AJ25" s="71"/>
      <c r="AK25" s="71"/>
    </row>
    <row r="26" spans="1:37" ht="54" customHeight="1" x14ac:dyDescent="0.55000000000000004">
      <c r="A26" s="62" t="s">
        <v>281</v>
      </c>
      <c r="B26" s="13"/>
      <c r="C26" s="64" t="s">
        <v>58</v>
      </c>
      <c r="D26" s="65">
        <v>2952547</v>
      </c>
      <c r="E26" s="48">
        <f t="shared" si="0"/>
        <v>7</v>
      </c>
      <c r="F26" s="49" t="str">
        <f t="shared" si="1"/>
        <v>1342952547</v>
      </c>
      <c r="G26" s="50" t="str">
        <f t="shared" si="2"/>
        <v>　</v>
      </c>
      <c r="H26" s="13" t="s">
        <v>282</v>
      </c>
      <c r="I26" s="13" t="s">
        <v>283</v>
      </c>
      <c r="J26" s="66" t="s">
        <v>44</v>
      </c>
      <c r="K26" s="66" t="s">
        <v>284</v>
      </c>
      <c r="L26" s="13" t="s">
        <v>285</v>
      </c>
      <c r="M26" s="13" t="s">
        <v>286</v>
      </c>
      <c r="N26" s="80" t="s">
        <v>287</v>
      </c>
      <c r="O26" s="67" t="s">
        <v>288</v>
      </c>
      <c r="P26" s="13" t="s">
        <v>289</v>
      </c>
      <c r="Q26" s="13" t="s">
        <v>290</v>
      </c>
      <c r="R26" s="74">
        <v>39171</v>
      </c>
      <c r="S26" s="69">
        <v>39234</v>
      </c>
      <c r="T26" s="69">
        <v>39234</v>
      </c>
      <c r="U26" s="70" t="s">
        <v>52</v>
      </c>
      <c r="V26" s="69">
        <v>41426</v>
      </c>
      <c r="W26" s="64" t="s">
        <v>291</v>
      </c>
      <c r="X26" s="70" t="s">
        <v>54</v>
      </c>
      <c r="Y26" s="63">
        <v>1</v>
      </c>
      <c r="Z26" s="63">
        <v>1</v>
      </c>
      <c r="AA26" s="63">
        <v>41906</v>
      </c>
      <c r="AB26" s="63">
        <v>42611</v>
      </c>
      <c r="AC26" s="13" t="s">
        <v>292</v>
      </c>
      <c r="AD26" s="13" t="s">
        <v>293</v>
      </c>
      <c r="AE26" s="13"/>
      <c r="AF26" s="63"/>
      <c r="AG26" s="63"/>
      <c r="AH26" s="63"/>
      <c r="AI26" s="63"/>
      <c r="AJ26" s="71"/>
      <c r="AK26" s="71"/>
    </row>
    <row r="27" spans="1:37" ht="40.5" customHeight="1" x14ac:dyDescent="0.55000000000000004">
      <c r="A27" s="62" t="s">
        <v>294</v>
      </c>
      <c r="B27" s="13"/>
      <c r="C27" s="64"/>
      <c r="D27" s="65">
        <v>2952562</v>
      </c>
      <c r="E27" s="48">
        <f t="shared" si="0"/>
        <v>7</v>
      </c>
      <c r="F27" s="49" t="str">
        <f t="shared" si="1"/>
        <v>1342952562</v>
      </c>
      <c r="G27" s="50" t="str">
        <f t="shared" si="2"/>
        <v>　</v>
      </c>
      <c r="H27" s="72" t="s">
        <v>295</v>
      </c>
      <c r="I27" s="13" t="s">
        <v>296</v>
      </c>
      <c r="J27" s="66" t="s">
        <v>44</v>
      </c>
      <c r="K27" s="13" t="s">
        <v>297</v>
      </c>
      <c r="L27" s="13" t="s">
        <v>298</v>
      </c>
      <c r="M27" s="13" t="s">
        <v>299</v>
      </c>
      <c r="N27" s="73" t="s">
        <v>300</v>
      </c>
      <c r="O27" s="73" t="s">
        <v>301</v>
      </c>
      <c r="P27" s="13" t="s">
        <v>302</v>
      </c>
      <c r="Q27" s="66" t="s">
        <v>303</v>
      </c>
      <c r="R27" s="68">
        <v>38947</v>
      </c>
      <c r="S27" s="68">
        <v>39052</v>
      </c>
      <c r="T27" s="69">
        <v>39052</v>
      </c>
      <c r="U27" s="64" t="s">
        <v>170</v>
      </c>
      <c r="V27" s="69">
        <v>45566</v>
      </c>
      <c r="W27" s="64" t="s">
        <v>304</v>
      </c>
      <c r="X27" s="70" t="s">
        <v>54</v>
      </c>
      <c r="Y27" s="63">
        <v>1</v>
      </c>
      <c r="Z27" s="63">
        <v>1</v>
      </c>
      <c r="AA27" s="63">
        <v>41812</v>
      </c>
      <c r="AB27" s="63"/>
      <c r="AC27" s="13" t="s">
        <v>305</v>
      </c>
      <c r="AD27" s="13"/>
      <c r="AE27" s="13"/>
      <c r="AF27" s="63"/>
      <c r="AG27" s="63"/>
      <c r="AH27" s="63"/>
      <c r="AI27" s="63"/>
      <c r="AJ27" s="71"/>
      <c r="AK27" s="71"/>
    </row>
    <row r="28" spans="1:37" ht="81" customHeight="1" x14ac:dyDescent="0.55000000000000004">
      <c r="A28" s="62" t="s">
        <v>306</v>
      </c>
      <c r="B28" s="13"/>
      <c r="C28" s="77"/>
      <c r="D28" s="65">
        <v>2955268</v>
      </c>
      <c r="E28" s="48">
        <f t="shared" si="0"/>
        <v>7</v>
      </c>
      <c r="F28" s="49" t="str">
        <f t="shared" si="1"/>
        <v>1342955268</v>
      </c>
      <c r="G28" s="50" t="str">
        <f t="shared" si="2"/>
        <v>　</v>
      </c>
      <c r="H28" s="72" t="s">
        <v>307</v>
      </c>
      <c r="I28" s="78" t="s">
        <v>164</v>
      </c>
      <c r="J28" s="66" t="s">
        <v>44</v>
      </c>
      <c r="K28" s="13" t="s">
        <v>308</v>
      </c>
      <c r="L28" s="13" t="s">
        <v>309</v>
      </c>
      <c r="M28" s="13" t="s">
        <v>310</v>
      </c>
      <c r="N28" s="73" t="s">
        <v>311</v>
      </c>
      <c r="O28" s="73" t="s">
        <v>312</v>
      </c>
      <c r="P28" s="13" t="s">
        <v>313</v>
      </c>
      <c r="Q28" s="66" t="s">
        <v>314</v>
      </c>
      <c r="R28" s="74">
        <v>39478</v>
      </c>
      <c r="S28" s="79">
        <v>39539</v>
      </c>
      <c r="T28" s="79">
        <v>39539</v>
      </c>
      <c r="U28" s="77" t="s">
        <v>315</v>
      </c>
      <c r="V28" s="74">
        <v>46113</v>
      </c>
      <c r="W28" s="77" t="s">
        <v>316</v>
      </c>
      <c r="X28" s="70" t="s">
        <v>54</v>
      </c>
      <c r="Y28" s="63">
        <v>1</v>
      </c>
      <c r="Z28" s="63">
        <v>1</v>
      </c>
      <c r="AA28" s="63">
        <v>42004</v>
      </c>
      <c r="AB28" s="63"/>
      <c r="AC28" s="13" t="s">
        <v>317</v>
      </c>
      <c r="AD28" s="13" t="s">
        <v>318</v>
      </c>
      <c r="AE28" s="13"/>
      <c r="AF28" s="63"/>
      <c r="AG28" s="63"/>
      <c r="AH28" s="63"/>
      <c r="AI28" s="63"/>
      <c r="AJ28" s="71"/>
      <c r="AK28" s="71"/>
    </row>
    <row r="29" spans="1:37" ht="40.5" customHeight="1" x14ac:dyDescent="0.55000000000000004">
      <c r="A29" s="62" t="s">
        <v>319</v>
      </c>
      <c r="B29" s="13"/>
      <c r="C29" s="64"/>
      <c r="D29" s="65">
        <v>2952687</v>
      </c>
      <c r="E29" s="48">
        <f t="shared" si="0"/>
        <v>7</v>
      </c>
      <c r="F29" s="49" t="str">
        <f t="shared" si="1"/>
        <v>1342952687</v>
      </c>
      <c r="G29" s="50" t="str">
        <f t="shared" si="2"/>
        <v>　</v>
      </c>
      <c r="H29" s="72" t="s">
        <v>320</v>
      </c>
      <c r="I29" s="13" t="s">
        <v>240</v>
      </c>
      <c r="J29" s="66" t="s">
        <v>44</v>
      </c>
      <c r="K29" s="13" t="s">
        <v>321</v>
      </c>
      <c r="L29" s="13" t="s">
        <v>322</v>
      </c>
      <c r="M29" s="13" t="s">
        <v>243</v>
      </c>
      <c r="N29" s="73" t="s">
        <v>323</v>
      </c>
      <c r="O29" s="73" t="s">
        <v>324</v>
      </c>
      <c r="P29" s="13" t="s">
        <v>325</v>
      </c>
      <c r="Q29" s="66"/>
      <c r="R29" s="68">
        <v>38961</v>
      </c>
      <c r="S29" s="69">
        <v>39052</v>
      </c>
      <c r="T29" s="69">
        <v>39052</v>
      </c>
      <c r="U29" s="64" t="s">
        <v>170</v>
      </c>
      <c r="V29" s="69">
        <v>45566</v>
      </c>
      <c r="W29" s="64" t="s">
        <v>326</v>
      </c>
      <c r="X29" s="70" t="s">
        <v>54</v>
      </c>
      <c r="Y29" s="63">
        <v>1</v>
      </c>
      <c r="Z29" s="63">
        <v>1</v>
      </c>
      <c r="AA29" s="63">
        <v>41812</v>
      </c>
      <c r="AB29" s="63"/>
      <c r="AC29" s="13" t="s">
        <v>204</v>
      </c>
      <c r="AD29" s="13"/>
      <c r="AE29" s="13"/>
      <c r="AF29" s="63"/>
      <c r="AG29" s="63"/>
      <c r="AH29" s="63"/>
      <c r="AI29" s="63"/>
      <c r="AJ29" s="71"/>
      <c r="AK29" s="71"/>
    </row>
    <row r="30" spans="1:37" ht="54" customHeight="1" x14ac:dyDescent="0.55000000000000004">
      <c r="A30" s="62" t="s">
        <v>327</v>
      </c>
      <c r="B30" s="13"/>
      <c r="C30" s="64"/>
      <c r="D30" s="65">
        <v>2952752</v>
      </c>
      <c r="E30" s="48">
        <f t="shared" si="0"/>
        <v>7</v>
      </c>
      <c r="F30" s="49" t="str">
        <f t="shared" si="1"/>
        <v>1342952752</v>
      </c>
      <c r="G30" s="50" t="str">
        <f t="shared" si="2"/>
        <v>　</v>
      </c>
      <c r="H30" s="72" t="s">
        <v>328</v>
      </c>
      <c r="I30" s="13" t="s">
        <v>329</v>
      </c>
      <c r="J30" s="66" t="s">
        <v>44</v>
      </c>
      <c r="K30" s="13" t="s">
        <v>330</v>
      </c>
      <c r="L30" s="13" t="s">
        <v>331</v>
      </c>
      <c r="M30" s="13" t="s">
        <v>332</v>
      </c>
      <c r="N30" s="73" t="s">
        <v>329</v>
      </c>
      <c r="O30" s="73" t="s">
        <v>333</v>
      </c>
      <c r="P30" s="13" t="s">
        <v>334</v>
      </c>
      <c r="Q30" s="13" t="s">
        <v>335</v>
      </c>
      <c r="R30" s="68">
        <v>38992</v>
      </c>
      <c r="S30" s="68">
        <v>39052</v>
      </c>
      <c r="T30" s="69">
        <v>39052</v>
      </c>
      <c r="U30" s="64" t="s">
        <v>170</v>
      </c>
      <c r="V30" s="69">
        <v>45566</v>
      </c>
      <c r="W30" s="64" t="s">
        <v>336</v>
      </c>
      <c r="X30" s="70" t="s">
        <v>54</v>
      </c>
      <c r="Y30" s="63">
        <v>1</v>
      </c>
      <c r="Z30" s="63">
        <v>1</v>
      </c>
      <c r="AA30" s="63">
        <v>41812</v>
      </c>
      <c r="AB30" s="63"/>
      <c r="AC30" s="13"/>
      <c r="AD30" s="13"/>
      <c r="AE30" s="13"/>
      <c r="AF30" s="63"/>
      <c r="AG30" s="63"/>
      <c r="AH30" s="63"/>
      <c r="AI30" s="63"/>
      <c r="AJ30" s="71"/>
      <c r="AK30" s="71"/>
    </row>
    <row r="31" spans="1:37" ht="27" customHeight="1" x14ac:dyDescent="0.55000000000000004">
      <c r="A31" s="62" t="s">
        <v>337</v>
      </c>
      <c r="B31" s="63"/>
      <c r="C31" s="64"/>
      <c r="D31" s="65">
        <v>2952760</v>
      </c>
      <c r="E31" s="48">
        <f t="shared" si="0"/>
        <v>7</v>
      </c>
      <c r="F31" s="49" t="str">
        <f t="shared" si="1"/>
        <v>1342952760</v>
      </c>
      <c r="G31" s="50" t="str">
        <f t="shared" si="2"/>
        <v>　</v>
      </c>
      <c r="H31" s="72" t="s">
        <v>338</v>
      </c>
      <c r="I31" s="13" t="s">
        <v>339</v>
      </c>
      <c r="J31" s="66" t="s">
        <v>44</v>
      </c>
      <c r="K31" s="13" t="s">
        <v>340</v>
      </c>
      <c r="L31" s="13" t="s">
        <v>341</v>
      </c>
      <c r="M31" s="13" t="s">
        <v>189</v>
      </c>
      <c r="N31" s="73" t="s">
        <v>164</v>
      </c>
      <c r="O31" s="73" t="s">
        <v>190</v>
      </c>
      <c r="P31" s="13" t="s">
        <v>342</v>
      </c>
      <c r="Q31" s="66"/>
      <c r="R31" s="68">
        <v>39025</v>
      </c>
      <c r="S31" s="69">
        <v>38808</v>
      </c>
      <c r="T31" s="69">
        <v>39083</v>
      </c>
      <c r="U31" s="64" t="s">
        <v>120</v>
      </c>
      <c r="V31" s="69">
        <v>45658</v>
      </c>
      <c r="W31" s="64" t="s">
        <v>343</v>
      </c>
      <c r="X31" s="70" t="s">
        <v>54</v>
      </c>
      <c r="Y31" s="63">
        <v>1</v>
      </c>
      <c r="Z31" s="63">
        <v>1</v>
      </c>
      <c r="AA31" s="75">
        <v>41901</v>
      </c>
      <c r="AB31" s="63"/>
      <c r="AC31" s="13"/>
      <c r="AD31" s="13"/>
      <c r="AE31" s="13"/>
      <c r="AF31" s="63"/>
      <c r="AG31" s="63"/>
      <c r="AH31" s="63"/>
      <c r="AI31" s="63"/>
      <c r="AJ31" s="71"/>
      <c r="AK31" s="71"/>
    </row>
    <row r="32" spans="1:37" ht="27" customHeight="1" x14ac:dyDescent="0.55000000000000004">
      <c r="A32" s="62" t="s">
        <v>344</v>
      </c>
      <c r="B32" s="63"/>
      <c r="C32" s="70"/>
      <c r="D32" s="65">
        <v>2952828</v>
      </c>
      <c r="E32" s="48">
        <f t="shared" si="0"/>
        <v>7</v>
      </c>
      <c r="F32" s="49" t="str">
        <f t="shared" si="1"/>
        <v>1342952828</v>
      </c>
      <c r="G32" s="50" t="str">
        <f t="shared" si="2"/>
        <v>　</v>
      </c>
      <c r="H32" s="72" t="s">
        <v>345</v>
      </c>
      <c r="I32" s="13" t="s">
        <v>346</v>
      </c>
      <c r="J32" s="66" t="s">
        <v>347</v>
      </c>
      <c r="K32" s="66" t="s">
        <v>348</v>
      </c>
      <c r="L32" s="13" t="s">
        <v>349</v>
      </c>
      <c r="M32" s="13" t="s">
        <v>350</v>
      </c>
      <c r="N32" s="73" t="s">
        <v>339</v>
      </c>
      <c r="O32" s="73" t="s">
        <v>351</v>
      </c>
      <c r="P32" s="13" t="s">
        <v>352</v>
      </c>
      <c r="Q32" s="66"/>
      <c r="R32" s="79">
        <v>39227</v>
      </c>
      <c r="S32" s="69">
        <v>39295</v>
      </c>
      <c r="T32" s="69">
        <v>39295</v>
      </c>
      <c r="U32" s="70" t="s">
        <v>353</v>
      </c>
      <c r="V32" s="69">
        <v>45839</v>
      </c>
      <c r="W32" s="64" t="s">
        <v>354</v>
      </c>
      <c r="X32" s="70" t="s">
        <v>54</v>
      </c>
      <c r="Y32" s="63">
        <v>1</v>
      </c>
      <c r="Z32" s="63">
        <v>1</v>
      </c>
      <c r="AA32" s="63">
        <v>41908</v>
      </c>
      <c r="AB32" s="63"/>
      <c r="AC32" s="13"/>
      <c r="AD32" s="13"/>
      <c r="AE32" s="13"/>
      <c r="AF32" s="63"/>
      <c r="AG32" s="63"/>
      <c r="AH32" s="63"/>
      <c r="AI32" s="63"/>
      <c r="AJ32" s="71"/>
      <c r="AK32" s="71"/>
    </row>
    <row r="33" spans="1:37" ht="27" customHeight="1" x14ac:dyDescent="0.55000000000000004">
      <c r="A33" s="62" t="s">
        <v>355</v>
      </c>
      <c r="B33" s="63"/>
      <c r="C33" s="64" t="s">
        <v>58</v>
      </c>
      <c r="D33" s="65">
        <v>2952893</v>
      </c>
      <c r="E33" s="48">
        <f t="shared" si="0"/>
        <v>7</v>
      </c>
      <c r="F33" s="49" t="str">
        <f t="shared" si="1"/>
        <v>1342952893</v>
      </c>
      <c r="G33" s="50" t="str">
        <f t="shared" si="2"/>
        <v>　</v>
      </c>
      <c r="H33" s="13" t="s">
        <v>356</v>
      </c>
      <c r="I33" s="13" t="s">
        <v>230</v>
      </c>
      <c r="J33" s="66" t="s">
        <v>44</v>
      </c>
      <c r="K33" s="66" t="s">
        <v>357</v>
      </c>
      <c r="L33" s="13" t="s">
        <v>358</v>
      </c>
      <c r="M33" s="13" t="s">
        <v>359</v>
      </c>
      <c r="N33" s="67" t="s">
        <v>360</v>
      </c>
      <c r="O33" s="67" t="s">
        <v>361</v>
      </c>
      <c r="P33" s="13" t="s">
        <v>362</v>
      </c>
      <c r="Q33" s="66"/>
      <c r="R33" s="79">
        <v>39150</v>
      </c>
      <c r="S33" s="69">
        <v>39234</v>
      </c>
      <c r="T33" s="69">
        <v>39234</v>
      </c>
      <c r="U33" s="70" t="s">
        <v>52</v>
      </c>
      <c r="V33" s="64"/>
      <c r="W33" s="64"/>
      <c r="X33" s="70" t="s">
        <v>54</v>
      </c>
      <c r="Y33" s="63">
        <v>1</v>
      </c>
      <c r="Z33" s="63">
        <v>1</v>
      </c>
      <c r="AA33" s="63">
        <v>41906</v>
      </c>
      <c r="AB33" s="63">
        <v>42412</v>
      </c>
      <c r="AC33" s="13" t="s">
        <v>363</v>
      </c>
      <c r="AD33" s="13"/>
      <c r="AE33" s="13"/>
      <c r="AF33" s="63"/>
      <c r="AG33" s="63"/>
      <c r="AH33" s="63"/>
      <c r="AI33" s="63"/>
      <c r="AJ33" s="71"/>
      <c r="AK33" s="71"/>
    </row>
    <row r="34" spans="1:37" ht="54" customHeight="1" x14ac:dyDescent="0.55000000000000004">
      <c r="A34" s="62" t="s">
        <v>364</v>
      </c>
      <c r="B34" s="13"/>
      <c r="C34" s="70"/>
      <c r="D34" s="65">
        <v>2952976</v>
      </c>
      <c r="E34" s="48">
        <f t="shared" si="0"/>
        <v>7</v>
      </c>
      <c r="F34" s="49" t="str">
        <f t="shared" si="1"/>
        <v>1342952976</v>
      </c>
      <c r="G34" s="50" t="str">
        <f t="shared" si="2"/>
        <v>　</v>
      </c>
      <c r="H34" s="72" t="s">
        <v>365</v>
      </c>
      <c r="I34" s="13" t="s">
        <v>366</v>
      </c>
      <c r="J34" s="66" t="s">
        <v>44</v>
      </c>
      <c r="K34" s="13" t="s">
        <v>367</v>
      </c>
      <c r="L34" s="13" t="s">
        <v>368</v>
      </c>
      <c r="M34" s="13" t="s">
        <v>72</v>
      </c>
      <c r="N34" s="73" t="s">
        <v>69</v>
      </c>
      <c r="O34" s="73" t="s">
        <v>73</v>
      </c>
      <c r="P34" s="13" t="s">
        <v>369</v>
      </c>
      <c r="Q34" s="13" t="s">
        <v>370</v>
      </c>
      <c r="R34" s="74">
        <v>39022</v>
      </c>
      <c r="S34" s="69">
        <v>39114</v>
      </c>
      <c r="T34" s="69">
        <v>39114</v>
      </c>
      <c r="U34" s="70" t="s">
        <v>76</v>
      </c>
      <c r="V34" s="69">
        <v>45658</v>
      </c>
      <c r="W34" s="64" t="s">
        <v>371</v>
      </c>
      <c r="X34" s="70" t="s">
        <v>54</v>
      </c>
      <c r="Y34" s="63">
        <v>1</v>
      </c>
      <c r="Z34" s="63">
        <v>1</v>
      </c>
      <c r="AA34" s="63">
        <v>41902</v>
      </c>
      <c r="AB34" s="63"/>
      <c r="AC34" s="13"/>
      <c r="AD34" s="13"/>
      <c r="AE34" s="13"/>
      <c r="AF34" s="63"/>
      <c r="AG34" s="63"/>
      <c r="AH34" s="63"/>
      <c r="AI34" s="63"/>
      <c r="AJ34" s="71"/>
      <c r="AK34" s="71"/>
    </row>
    <row r="35" spans="1:37" ht="65" x14ac:dyDescent="0.55000000000000004">
      <c r="A35" s="62" t="s">
        <v>372</v>
      </c>
      <c r="B35" s="13"/>
      <c r="C35" s="70"/>
      <c r="D35" s="65">
        <v>2953057</v>
      </c>
      <c r="E35" s="48">
        <f t="shared" si="0"/>
        <v>7</v>
      </c>
      <c r="F35" s="49" t="str">
        <f t="shared" si="1"/>
        <v>1342953057</v>
      </c>
      <c r="G35" s="50" t="str">
        <f t="shared" si="2"/>
        <v>　</v>
      </c>
      <c r="H35" s="72" t="s">
        <v>373</v>
      </c>
      <c r="I35" s="81" t="s">
        <v>195</v>
      </c>
      <c r="J35" s="66" t="s">
        <v>44</v>
      </c>
      <c r="K35" s="13" t="s">
        <v>374</v>
      </c>
      <c r="L35" s="13" t="s">
        <v>375</v>
      </c>
      <c r="M35" s="13" t="s">
        <v>376</v>
      </c>
      <c r="N35" s="73" t="s">
        <v>377</v>
      </c>
      <c r="O35" s="73" t="s">
        <v>378</v>
      </c>
      <c r="P35" s="13" t="s">
        <v>379</v>
      </c>
      <c r="Q35" s="13" t="s">
        <v>380</v>
      </c>
      <c r="R35" s="68">
        <v>40387</v>
      </c>
      <c r="S35" s="69">
        <v>40452</v>
      </c>
      <c r="T35" s="69">
        <v>40452</v>
      </c>
      <c r="U35" s="64" t="s">
        <v>381</v>
      </c>
      <c r="V35" s="69">
        <v>44835</v>
      </c>
      <c r="W35" s="64" t="s">
        <v>382</v>
      </c>
      <c r="X35" s="77" t="s">
        <v>54</v>
      </c>
      <c r="Y35" s="63">
        <v>1</v>
      </c>
      <c r="Z35" s="63">
        <v>1</v>
      </c>
      <c r="AA35" s="63">
        <v>42210</v>
      </c>
      <c r="AB35" s="63"/>
      <c r="AC35" s="13" t="s">
        <v>383</v>
      </c>
      <c r="AD35" s="13" t="s">
        <v>384</v>
      </c>
      <c r="AE35" s="63"/>
      <c r="AF35" s="63"/>
      <c r="AG35" s="63"/>
      <c r="AH35" s="63"/>
      <c r="AI35" s="63"/>
      <c r="AJ35" s="71"/>
      <c r="AK35" s="71"/>
    </row>
    <row r="36" spans="1:37" ht="54" customHeight="1" x14ac:dyDescent="0.55000000000000004">
      <c r="A36" s="62" t="s">
        <v>385</v>
      </c>
      <c r="B36" s="63"/>
      <c r="C36" s="70"/>
      <c r="D36" s="65">
        <v>2953073</v>
      </c>
      <c r="E36" s="48">
        <f t="shared" si="0"/>
        <v>7</v>
      </c>
      <c r="F36" s="49" t="str">
        <f t="shared" si="1"/>
        <v>1342953073</v>
      </c>
      <c r="G36" s="50" t="str">
        <f t="shared" si="2"/>
        <v>　</v>
      </c>
      <c r="H36" s="72" t="s">
        <v>386</v>
      </c>
      <c r="I36" s="13" t="s">
        <v>80</v>
      </c>
      <c r="J36" s="66" t="s">
        <v>44</v>
      </c>
      <c r="K36" s="66" t="s">
        <v>387</v>
      </c>
      <c r="L36" s="13" t="s">
        <v>388</v>
      </c>
      <c r="M36" s="13" t="s">
        <v>389</v>
      </c>
      <c r="N36" s="73" t="s">
        <v>390</v>
      </c>
      <c r="O36" s="73" t="s">
        <v>391</v>
      </c>
      <c r="P36" s="13" t="s">
        <v>392</v>
      </c>
      <c r="Q36" s="13" t="s">
        <v>393</v>
      </c>
      <c r="R36" s="74">
        <v>39157</v>
      </c>
      <c r="S36" s="69">
        <v>39234</v>
      </c>
      <c r="T36" s="69">
        <v>39234</v>
      </c>
      <c r="U36" s="70" t="s">
        <v>52</v>
      </c>
      <c r="V36" s="69">
        <v>45748</v>
      </c>
      <c r="W36" s="64" t="s">
        <v>394</v>
      </c>
      <c r="X36" s="70" t="s">
        <v>54</v>
      </c>
      <c r="Y36" s="63">
        <v>1</v>
      </c>
      <c r="Z36" s="63">
        <v>1</v>
      </c>
      <c r="AA36" s="63">
        <v>41906</v>
      </c>
      <c r="AB36" s="63"/>
      <c r="AC36" s="13"/>
      <c r="AD36" s="13"/>
      <c r="AE36" s="13"/>
      <c r="AF36" s="63"/>
      <c r="AG36" s="63"/>
      <c r="AH36" s="63"/>
      <c r="AI36" s="63"/>
      <c r="AJ36" s="71"/>
      <c r="AK36" s="71"/>
    </row>
    <row r="37" spans="1:37" ht="40.5" customHeight="1" x14ac:dyDescent="0.55000000000000004">
      <c r="A37" s="62" t="s">
        <v>395</v>
      </c>
      <c r="B37" s="63"/>
      <c r="C37" s="64"/>
      <c r="D37" s="65">
        <v>2953172</v>
      </c>
      <c r="E37" s="48">
        <f t="shared" si="0"/>
        <v>7</v>
      </c>
      <c r="F37" s="49" t="str">
        <f t="shared" si="1"/>
        <v>1342953172</v>
      </c>
      <c r="G37" s="50" t="str">
        <f t="shared" si="2"/>
        <v>　</v>
      </c>
      <c r="H37" s="72" t="s">
        <v>396</v>
      </c>
      <c r="I37" s="13" t="s">
        <v>339</v>
      </c>
      <c r="J37" s="66" t="s">
        <v>44</v>
      </c>
      <c r="K37" s="13" t="s">
        <v>397</v>
      </c>
      <c r="L37" s="13" t="s">
        <v>398</v>
      </c>
      <c r="M37" s="13" t="s">
        <v>189</v>
      </c>
      <c r="N37" s="73" t="s">
        <v>164</v>
      </c>
      <c r="O37" s="73" t="s">
        <v>190</v>
      </c>
      <c r="P37" s="13" t="s">
        <v>399</v>
      </c>
      <c r="Q37" s="13" t="s">
        <v>400</v>
      </c>
      <c r="R37" s="68">
        <v>39025</v>
      </c>
      <c r="S37" s="69">
        <v>38808</v>
      </c>
      <c r="T37" s="69">
        <v>39083</v>
      </c>
      <c r="U37" s="64" t="s">
        <v>254</v>
      </c>
      <c r="V37" s="69">
        <v>45658</v>
      </c>
      <c r="W37" s="64" t="s">
        <v>401</v>
      </c>
      <c r="X37" s="70" t="s">
        <v>54</v>
      </c>
      <c r="Y37" s="63">
        <v>1</v>
      </c>
      <c r="Z37" s="63">
        <v>1</v>
      </c>
      <c r="AA37" s="75">
        <v>41901</v>
      </c>
      <c r="AB37" s="63"/>
      <c r="AC37" s="13"/>
      <c r="AD37" s="13"/>
      <c r="AE37" s="13"/>
      <c r="AF37" s="63"/>
      <c r="AG37" s="63"/>
      <c r="AH37" s="63"/>
      <c r="AI37" s="63"/>
      <c r="AJ37" s="71"/>
      <c r="AK37" s="71"/>
    </row>
    <row r="38" spans="1:37" ht="81" customHeight="1" x14ac:dyDescent="0.55000000000000004">
      <c r="A38" s="62" t="s">
        <v>402</v>
      </c>
      <c r="B38" s="63"/>
      <c r="C38" s="70"/>
      <c r="D38" s="65">
        <v>2955276</v>
      </c>
      <c r="E38" s="48">
        <f t="shared" si="0"/>
        <v>7</v>
      </c>
      <c r="F38" s="49" t="str">
        <f t="shared" si="1"/>
        <v>1342955276</v>
      </c>
      <c r="G38" s="50" t="str">
        <f t="shared" si="2"/>
        <v>　</v>
      </c>
      <c r="H38" s="72" t="s">
        <v>403</v>
      </c>
      <c r="I38" s="13" t="s">
        <v>404</v>
      </c>
      <c r="J38" s="66" t="s">
        <v>44</v>
      </c>
      <c r="K38" s="13" t="s">
        <v>405</v>
      </c>
      <c r="L38" s="13" t="s">
        <v>406</v>
      </c>
      <c r="M38" s="13" t="s">
        <v>407</v>
      </c>
      <c r="N38" s="73" t="s">
        <v>311</v>
      </c>
      <c r="O38" s="73" t="s">
        <v>312</v>
      </c>
      <c r="P38" s="13" t="s">
        <v>408</v>
      </c>
      <c r="Q38" s="13" t="s">
        <v>409</v>
      </c>
      <c r="R38" s="74">
        <v>39020</v>
      </c>
      <c r="S38" s="69">
        <v>39114</v>
      </c>
      <c r="T38" s="69">
        <v>39114</v>
      </c>
      <c r="U38" s="70" t="s">
        <v>76</v>
      </c>
      <c r="V38" s="69">
        <v>45658</v>
      </c>
      <c r="W38" s="64" t="s">
        <v>410</v>
      </c>
      <c r="X38" s="70" t="s">
        <v>54</v>
      </c>
      <c r="Y38" s="63">
        <v>1</v>
      </c>
      <c r="Z38" s="63">
        <v>1</v>
      </c>
      <c r="AA38" s="63">
        <v>41902</v>
      </c>
      <c r="AB38" s="63"/>
      <c r="AC38" s="13" t="s">
        <v>411</v>
      </c>
      <c r="AD38" s="13" t="s">
        <v>412</v>
      </c>
      <c r="AE38" s="13"/>
      <c r="AF38" s="63"/>
      <c r="AG38" s="63"/>
      <c r="AH38" s="63"/>
      <c r="AI38" s="63"/>
      <c r="AJ38" s="71"/>
      <c r="AK38" s="71"/>
    </row>
    <row r="39" spans="1:37" ht="54" customHeight="1" x14ac:dyDescent="0.55000000000000004">
      <c r="A39" s="62" t="s">
        <v>413</v>
      </c>
      <c r="B39" s="63"/>
      <c r="C39" s="64"/>
      <c r="D39" s="65">
        <v>2953289</v>
      </c>
      <c r="E39" s="48">
        <f t="shared" si="0"/>
        <v>7</v>
      </c>
      <c r="F39" s="49" t="str">
        <f t="shared" si="1"/>
        <v>1342953289</v>
      </c>
      <c r="G39" s="50" t="str">
        <f t="shared" si="2"/>
        <v>　</v>
      </c>
      <c r="H39" s="72" t="s">
        <v>414</v>
      </c>
      <c r="I39" s="13" t="s">
        <v>195</v>
      </c>
      <c r="J39" s="66" t="s">
        <v>44</v>
      </c>
      <c r="K39" s="13" t="s">
        <v>415</v>
      </c>
      <c r="L39" s="13" t="s">
        <v>416</v>
      </c>
      <c r="M39" s="13" t="s">
        <v>116</v>
      </c>
      <c r="N39" s="73" t="s">
        <v>113</v>
      </c>
      <c r="O39" s="73" t="s">
        <v>117</v>
      </c>
      <c r="P39" s="13" t="s">
        <v>417</v>
      </c>
      <c r="Q39" s="66"/>
      <c r="R39" s="68">
        <v>39058</v>
      </c>
      <c r="S39" s="69">
        <v>39173</v>
      </c>
      <c r="T39" s="69">
        <v>39173</v>
      </c>
      <c r="U39" s="64" t="s">
        <v>138</v>
      </c>
      <c r="V39" s="69">
        <v>45748</v>
      </c>
      <c r="W39" s="64" t="s">
        <v>418</v>
      </c>
      <c r="X39" s="70" t="s">
        <v>54</v>
      </c>
      <c r="Y39" s="63">
        <v>1</v>
      </c>
      <c r="Z39" s="63">
        <v>1</v>
      </c>
      <c r="AA39" s="63">
        <v>41904</v>
      </c>
      <c r="AB39" s="63"/>
      <c r="AC39" s="13" t="s">
        <v>122</v>
      </c>
      <c r="AD39" s="13"/>
      <c r="AE39" s="13"/>
      <c r="AF39" s="63"/>
      <c r="AG39" s="63"/>
      <c r="AH39" s="63"/>
      <c r="AI39" s="63"/>
      <c r="AJ39" s="71"/>
      <c r="AK39" s="71"/>
    </row>
    <row r="40" spans="1:37" ht="27" customHeight="1" x14ac:dyDescent="0.55000000000000004">
      <c r="A40" s="62" t="s">
        <v>419</v>
      </c>
      <c r="B40" s="63"/>
      <c r="C40" s="64"/>
      <c r="D40" s="65">
        <v>2953354</v>
      </c>
      <c r="E40" s="48">
        <f t="shared" si="0"/>
        <v>7</v>
      </c>
      <c r="F40" s="49" t="str">
        <f t="shared" si="1"/>
        <v>1342953354</v>
      </c>
      <c r="G40" s="50" t="str">
        <f t="shared" si="2"/>
        <v>　</v>
      </c>
      <c r="H40" s="72" t="s">
        <v>420</v>
      </c>
      <c r="I40" s="13" t="s">
        <v>272</v>
      </c>
      <c r="J40" s="66" t="s">
        <v>44</v>
      </c>
      <c r="K40" s="13" t="s">
        <v>421</v>
      </c>
      <c r="L40" s="13" t="s">
        <v>422</v>
      </c>
      <c r="M40" s="13" t="s">
        <v>423</v>
      </c>
      <c r="N40" s="73" t="s">
        <v>272</v>
      </c>
      <c r="O40" s="73" t="s">
        <v>424</v>
      </c>
      <c r="P40" s="13" t="s">
        <v>425</v>
      </c>
      <c r="Q40" s="66"/>
      <c r="R40" s="68">
        <v>39042</v>
      </c>
      <c r="S40" s="69">
        <v>38808</v>
      </c>
      <c r="T40" s="69">
        <v>39083</v>
      </c>
      <c r="U40" s="64" t="s">
        <v>426</v>
      </c>
      <c r="V40" s="69">
        <v>45658</v>
      </c>
      <c r="W40" s="64" t="s">
        <v>427</v>
      </c>
      <c r="X40" s="70" t="s">
        <v>54</v>
      </c>
      <c r="Y40" s="63">
        <v>1</v>
      </c>
      <c r="Z40" s="63">
        <v>1</v>
      </c>
      <c r="AA40" s="75">
        <v>41901</v>
      </c>
      <c r="AB40" s="63"/>
      <c r="AC40" s="13"/>
      <c r="AD40" s="13"/>
      <c r="AE40" s="13"/>
      <c r="AF40" s="63"/>
      <c r="AG40" s="63"/>
      <c r="AH40" s="63"/>
      <c r="AI40" s="63"/>
      <c r="AJ40" s="71"/>
      <c r="AK40" s="71"/>
    </row>
    <row r="41" spans="1:37" ht="40.5" customHeight="1" x14ac:dyDescent="0.55000000000000004">
      <c r="A41" s="62" t="s">
        <v>428</v>
      </c>
      <c r="B41" s="63"/>
      <c r="C41" s="77"/>
      <c r="D41" s="65">
        <v>2953412</v>
      </c>
      <c r="E41" s="48">
        <f t="shared" si="0"/>
        <v>7</v>
      </c>
      <c r="F41" s="49" t="str">
        <f t="shared" si="1"/>
        <v>1342953412</v>
      </c>
      <c r="G41" s="50" t="str">
        <f t="shared" si="2"/>
        <v>　</v>
      </c>
      <c r="H41" s="72" t="s">
        <v>429</v>
      </c>
      <c r="I41" s="78" t="s">
        <v>390</v>
      </c>
      <c r="J41" s="66" t="s">
        <v>44</v>
      </c>
      <c r="K41" s="13" t="s">
        <v>430</v>
      </c>
      <c r="L41" s="13" t="s">
        <v>431</v>
      </c>
      <c r="M41" s="13" t="s">
        <v>432</v>
      </c>
      <c r="N41" s="73" t="s">
        <v>433</v>
      </c>
      <c r="O41" s="73" t="s">
        <v>434</v>
      </c>
      <c r="P41" s="13" t="s">
        <v>435</v>
      </c>
      <c r="Q41" s="66" t="s">
        <v>436</v>
      </c>
      <c r="R41" s="74">
        <v>39423</v>
      </c>
      <c r="S41" s="79">
        <v>39479</v>
      </c>
      <c r="T41" s="79">
        <v>39479</v>
      </c>
      <c r="U41" s="77" t="s">
        <v>152</v>
      </c>
      <c r="V41" s="69">
        <v>46023</v>
      </c>
      <c r="W41" s="64" t="s">
        <v>153</v>
      </c>
      <c r="X41" s="70" t="s">
        <v>54</v>
      </c>
      <c r="Y41" s="63">
        <v>1</v>
      </c>
      <c r="Z41" s="63">
        <v>1</v>
      </c>
      <c r="AA41" s="63">
        <v>42002</v>
      </c>
      <c r="AB41" s="63"/>
      <c r="AC41" s="13"/>
      <c r="AD41" s="13"/>
      <c r="AE41" s="13"/>
      <c r="AF41" s="63"/>
      <c r="AG41" s="63"/>
      <c r="AH41" s="63"/>
      <c r="AI41" s="63"/>
      <c r="AJ41" s="71"/>
      <c r="AK41" s="71"/>
    </row>
    <row r="42" spans="1:37" ht="54" customHeight="1" x14ac:dyDescent="0.55000000000000004">
      <c r="A42" s="62" t="s">
        <v>437</v>
      </c>
      <c r="B42" s="63"/>
      <c r="C42" s="64" t="s">
        <v>58</v>
      </c>
      <c r="D42" s="65">
        <v>2953503</v>
      </c>
      <c r="E42" s="48">
        <f t="shared" si="0"/>
        <v>7</v>
      </c>
      <c r="F42" s="49" t="str">
        <f t="shared" si="1"/>
        <v>1342953503</v>
      </c>
      <c r="G42" s="50" t="str">
        <f t="shared" si="2"/>
        <v>　</v>
      </c>
      <c r="H42" s="13" t="s">
        <v>438</v>
      </c>
      <c r="I42" s="13" t="s">
        <v>287</v>
      </c>
      <c r="J42" s="66" t="s">
        <v>44</v>
      </c>
      <c r="K42" s="13" t="s">
        <v>439</v>
      </c>
      <c r="L42" s="13" t="s">
        <v>440</v>
      </c>
      <c r="M42" s="13" t="s">
        <v>441</v>
      </c>
      <c r="N42" s="73" t="s">
        <v>442</v>
      </c>
      <c r="O42" s="73" t="s">
        <v>443</v>
      </c>
      <c r="P42" s="13" t="s">
        <v>444</v>
      </c>
      <c r="Q42" s="13" t="s">
        <v>445</v>
      </c>
      <c r="R42" s="74">
        <v>39051</v>
      </c>
      <c r="S42" s="69">
        <v>39114</v>
      </c>
      <c r="T42" s="69">
        <v>39114</v>
      </c>
      <c r="U42" s="70" t="s">
        <v>76</v>
      </c>
      <c r="V42" s="69">
        <v>43497</v>
      </c>
      <c r="W42" s="64" t="s">
        <v>446</v>
      </c>
      <c r="X42" s="70" t="s">
        <v>54</v>
      </c>
      <c r="Y42" s="63">
        <v>1</v>
      </c>
      <c r="Z42" s="63">
        <v>1</v>
      </c>
      <c r="AA42" s="63">
        <v>41902</v>
      </c>
      <c r="AB42" s="63">
        <v>50309</v>
      </c>
      <c r="AC42" s="13" t="s">
        <v>447</v>
      </c>
      <c r="AD42" s="13" t="s">
        <v>448</v>
      </c>
      <c r="AE42" s="13"/>
      <c r="AF42" s="63"/>
      <c r="AG42" s="63"/>
      <c r="AH42" s="63"/>
      <c r="AI42" s="63"/>
      <c r="AJ42" s="71"/>
      <c r="AK42" s="71"/>
    </row>
    <row r="43" spans="1:37" ht="40.5" customHeight="1" x14ac:dyDescent="0.55000000000000004">
      <c r="A43" s="62" t="s">
        <v>449</v>
      </c>
      <c r="B43" s="13"/>
      <c r="C43" s="64"/>
      <c r="D43" s="65">
        <v>2953511</v>
      </c>
      <c r="E43" s="48">
        <f t="shared" si="0"/>
        <v>7</v>
      </c>
      <c r="F43" s="49" t="str">
        <f t="shared" si="1"/>
        <v>1342953511</v>
      </c>
      <c r="G43" s="50" t="str">
        <f t="shared" si="2"/>
        <v>　</v>
      </c>
      <c r="H43" s="72" t="s">
        <v>450</v>
      </c>
      <c r="I43" s="13" t="s">
        <v>98</v>
      </c>
      <c r="J43" s="66" t="s">
        <v>44</v>
      </c>
      <c r="K43" s="13" t="s">
        <v>451</v>
      </c>
      <c r="L43" s="13" t="s">
        <v>452</v>
      </c>
      <c r="M43" s="13" t="s">
        <v>453</v>
      </c>
      <c r="N43" s="73" t="s">
        <v>98</v>
      </c>
      <c r="O43" s="73" t="s">
        <v>454</v>
      </c>
      <c r="P43" s="13" t="s">
        <v>455</v>
      </c>
      <c r="Q43" s="66" t="s">
        <v>456</v>
      </c>
      <c r="R43" s="68">
        <v>41460</v>
      </c>
      <c r="S43" s="69">
        <v>41548</v>
      </c>
      <c r="T43" s="69">
        <v>41548</v>
      </c>
      <c r="U43" s="64" t="s">
        <v>457</v>
      </c>
      <c r="V43" s="69">
        <v>45931</v>
      </c>
      <c r="W43" s="64" t="s">
        <v>458</v>
      </c>
      <c r="X43" s="70" t="s">
        <v>459</v>
      </c>
      <c r="Y43" s="63">
        <v>1</v>
      </c>
      <c r="Z43" s="63">
        <v>1</v>
      </c>
      <c r="AA43" s="63">
        <v>42510</v>
      </c>
      <c r="AB43" s="63"/>
      <c r="AC43" s="66" t="s">
        <v>460</v>
      </c>
      <c r="AD43" s="13"/>
      <c r="AE43" s="13"/>
      <c r="AF43" s="63"/>
      <c r="AG43" s="63"/>
      <c r="AH43" s="63"/>
      <c r="AI43" s="63"/>
      <c r="AJ43" s="71"/>
      <c r="AK43" s="71"/>
    </row>
    <row r="44" spans="1:37" ht="54" customHeight="1" x14ac:dyDescent="0.55000000000000004">
      <c r="A44" s="62" t="s">
        <v>461</v>
      </c>
      <c r="B44" s="63"/>
      <c r="C44" s="64" t="s">
        <v>58</v>
      </c>
      <c r="D44" s="65">
        <v>2953552</v>
      </c>
      <c r="E44" s="48">
        <f t="shared" si="0"/>
        <v>7</v>
      </c>
      <c r="F44" s="49" t="str">
        <f t="shared" si="1"/>
        <v>1342953552</v>
      </c>
      <c r="G44" s="50" t="str">
        <f t="shared" si="2"/>
        <v>　</v>
      </c>
      <c r="H44" s="13" t="s">
        <v>462</v>
      </c>
      <c r="I44" s="82" t="s">
        <v>287</v>
      </c>
      <c r="J44" s="66" t="s">
        <v>44</v>
      </c>
      <c r="K44" s="13" t="s">
        <v>463</v>
      </c>
      <c r="L44" s="13" t="s">
        <v>464</v>
      </c>
      <c r="M44" s="13" t="s">
        <v>465</v>
      </c>
      <c r="N44" s="73" t="s">
        <v>466</v>
      </c>
      <c r="O44" s="73" t="s">
        <v>467</v>
      </c>
      <c r="P44" s="13" t="s">
        <v>468</v>
      </c>
      <c r="Q44" s="66"/>
      <c r="R44" s="68">
        <v>40889</v>
      </c>
      <c r="S44" s="69">
        <v>40940</v>
      </c>
      <c r="T44" s="69">
        <v>40940</v>
      </c>
      <c r="U44" s="64" t="s">
        <v>469</v>
      </c>
      <c r="V44" s="69">
        <v>43132</v>
      </c>
      <c r="W44" s="64" t="s">
        <v>470</v>
      </c>
      <c r="X44" s="70" t="s">
        <v>54</v>
      </c>
      <c r="Y44" s="63">
        <v>1</v>
      </c>
      <c r="Z44" s="63">
        <v>1</v>
      </c>
      <c r="AA44" s="63">
        <v>42402</v>
      </c>
      <c r="AB44" s="63">
        <v>50310</v>
      </c>
      <c r="AC44" s="13" t="s">
        <v>471</v>
      </c>
      <c r="AD44" s="13" t="s">
        <v>472</v>
      </c>
      <c r="AE44" s="13"/>
      <c r="AF44" s="63"/>
      <c r="AG44" s="63"/>
      <c r="AH44" s="63"/>
      <c r="AI44" s="63"/>
      <c r="AJ44" s="71"/>
      <c r="AK44" s="71"/>
    </row>
    <row r="45" spans="1:37" ht="54" customHeight="1" x14ac:dyDescent="0.55000000000000004">
      <c r="A45" s="62" t="s">
        <v>473</v>
      </c>
      <c r="B45" s="63"/>
      <c r="C45" s="70"/>
      <c r="D45" s="65">
        <v>2953560</v>
      </c>
      <c r="E45" s="48">
        <f t="shared" si="0"/>
        <v>7</v>
      </c>
      <c r="F45" s="49" t="str">
        <f t="shared" si="1"/>
        <v>1342953560</v>
      </c>
      <c r="G45" s="50" t="str">
        <f t="shared" si="2"/>
        <v>　</v>
      </c>
      <c r="H45" s="72" t="s">
        <v>474</v>
      </c>
      <c r="I45" s="13" t="s">
        <v>475</v>
      </c>
      <c r="J45" s="66" t="s">
        <v>44</v>
      </c>
      <c r="K45" s="66" t="s">
        <v>476</v>
      </c>
      <c r="L45" s="13" t="s">
        <v>477</v>
      </c>
      <c r="M45" s="13" t="s">
        <v>478</v>
      </c>
      <c r="N45" s="73" t="s">
        <v>475</v>
      </c>
      <c r="O45" s="73" t="s">
        <v>479</v>
      </c>
      <c r="P45" s="13" t="s">
        <v>480</v>
      </c>
      <c r="Q45" s="66" t="s">
        <v>481</v>
      </c>
      <c r="R45" s="79">
        <v>39169</v>
      </c>
      <c r="S45" s="69">
        <v>39234</v>
      </c>
      <c r="T45" s="69">
        <v>39234</v>
      </c>
      <c r="U45" s="70" t="s">
        <v>52</v>
      </c>
      <c r="V45" s="69">
        <v>45748</v>
      </c>
      <c r="W45" s="64" t="s">
        <v>482</v>
      </c>
      <c r="X45" s="70" t="s">
        <v>54</v>
      </c>
      <c r="Y45" s="63">
        <v>1</v>
      </c>
      <c r="Z45" s="63">
        <v>1</v>
      </c>
      <c r="AA45" s="63">
        <v>41906</v>
      </c>
      <c r="AB45" s="63"/>
      <c r="AC45" s="13"/>
      <c r="AD45" s="13"/>
      <c r="AE45" s="13"/>
      <c r="AF45" s="63"/>
      <c r="AG45" s="63"/>
      <c r="AH45" s="63"/>
      <c r="AI45" s="63"/>
      <c r="AJ45" s="71"/>
      <c r="AK45" s="71"/>
    </row>
    <row r="46" spans="1:37" ht="122.25" customHeight="1" x14ac:dyDescent="0.55000000000000004">
      <c r="A46" s="62" t="s">
        <v>483</v>
      </c>
      <c r="B46" s="13"/>
      <c r="C46" s="64"/>
      <c r="D46" s="65">
        <v>2956159</v>
      </c>
      <c r="E46" s="48">
        <f t="shared" si="0"/>
        <v>7</v>
      </c>
      <c r="F46" s="49" t="str">
        <f t="shared" si="1"/>
        <v>1342956159</v>
      </c>
      <c r="G46" s="50" t="str">
        <f t="shared" si="2"/>
        <v>　</v>
      </c>
      <c r="H46" s="72" t="s">
        <v>484</v>
      </c>
      <c r="I46" s="13" t="s">
        <v>390</v>
      </c>
      <c r="J46" s="66" t="s">
        <v>44</v>
      </c>
      <c r="K46" s="13" t="s">
        <v>485</v>
      </c>
      <c r="L46" s="13" t="s">
        <v>486</v>
      </c>
      <c r="M46" s="13" t="s">
        <v>487</v>
      </c>
      <c r="N46" s="73" t="s">
        <v>488</v>
      </c>
      <c r="O46" s="73" t="s">
        <v>489</v>
      </c>
      <c r="P46" s="13" t="s">
        <v>490</v>
      </c>
      <c r="Q46" s="13" t="s">
        <v>491</v>
      </c>
      <c r="R46" s="68">
        <v>38933</v>
      </c>
      <c r="S46" s="68">
        <v>38991</v>
      </c>
      <c r="T46" s="69">
        <v>38991</v>
      </c>
      <c r="U46" s="64" t="s">
        <v>492</v>
      </c>
      <c r="V46" s="69">
        <v>45566</v>
      </c>
      <c r="W46" s="64" t="s">
        <v>493</v>
      </c>
      <c r="X46" s="70" t="s">
        <v>54</v>
      </c>
      <c r="Y46" s="63">
        <v>1</v>
      </c>
      <c r="Z46" s="63">
        <v>1</v>
      </c>
      <c r="AA46" s="63">
        <v>41810</v>
      </c>
      <c r="AB46" s="63"/>
      <c r="AC46" s="13" t="s">
        <v>494</v>
      </c>
      <c r="AD46" s="13" t="s">
        <v>495</v>
      </c>
      <c r="AE46" s="13" t="s">
        <v>496</v>
      </c>
      <c r="AF46" s="13" t="s">
        <v>497</v>
      </c>
      <c r="AG46" s="63"/>
      <c r="AH46" s="63"/>
      <c r="AI46" s="63"/>
      <c r="AJ46" s="71"/>
      <c r="AK46" s="71"/>
    </row>
    <row r="47" spans="1:37" ht="51" customHeight="1" x14ac:dyDescent="0.55000000000000004">
      <c r="A47" s="62" t="s">
        <v>498</v>
      </c>
      <c r="B47" s="13"/>
      <c r="C47" s="64"/>
      <c r="D47" s="65">
        <v>2953867</v>
      </c>
      <c r="E47" s="48">
        <f t="shared" si="0"/>
        <v>7</v>
      </c>
      <c r="F47" s="49" t="str">
        <f t="shared" si="1"/>
        <v>1342953867</v>
      </c>
      <c r="G47" s="50" t="str">
        <f t="shared" si="2"/>
        <v>　</v>
      </c>
      <c r="H47" s="72" t="s">
        <v>499</v>
      </c>
      <c r="I47" s="13" t="s">
        <v>500</v>
      </c>
      <c r="J47" s="66" t="s">
        <v>44</v>
      </c>
      <c r="K47" s="13" t="s">
        <v>501</v>
      </c>
      <c r="L47" s="13" t="s">
        <v>502</v>
      </c>
      <c r="M47" s="13" t="s">
        <v>503</v>
      </c>
      <c r="N47" s="73" t="s">
        <v>500</v>
      </c>
      <c r="O47" s="73" t="s">
        <v>504</v>
      </c>
      <c r="P47" s="13" t="s">
        <v>505</v>
      </c>
      <c r="Q47" s="83" t="s">
        <v>506</v>
      </c>
      <c r="R47" s="68">
        <v>41727</v>
      </c>
      <c r="S47" s="69">
        <v>41791</v>
      </c>
      <c r="T47" s="69">
        <v>41791</v>
      </c>
      <c r="U47" s="64" t="s">
        <v>507</v>
      </c>
      <c r="V47" s="74">
        <v>46113</v>
      </c>
      <c r="W47" s="77" t="s">
        <v>316</v>
      </c>
      <c r="X47" s="70" t="s">
        <v>54</v>
      </c>
      <c r="Y47" s="63">
        <v>1</v>
      </c>
      <c r="Z47" s="63">
        <v>1</v>
      </c>
      <c r="AA47" s="63">
        <v>42606</v>
      </c>
      <c r="AB47" s="63"/>
      <c r="AC47" s="66" t="s">
        <v>508</v>
      </c>
      <c r="AD47" s="62"/>
      <c r="AE47" s="62"/>
      <c r="AF47" s="13"/>
      <c r="AG47" s="13"/>
      <c r="AH47" s="13"/>
      <c r="AI47" s="13"/>
      <c r="AJ47" s="71"/>
      <c r="AK47" s="71"/>
    </row>
    <row r="48" spans="1:37" ht="54" customHeight="1" x14ac:dyDescent="0.55000000000000004">
      <c r="A48" s="62" t="s">
        <v>509</v>
      </c>
      <c r="B48" s="63"/>
      <c r="C48" s="70"/>
      <c r="D48" s="65">
        <v>2953891</v>
      </c>
      <c r="E48" s="48">
        <f t="shared" si="0"/>
        <v>7</v>
      </c>
      <c r="F48" s="49" t="str">
        <f t="shared" si="1"/>
        <v>1342953891</v>
      </c>
      <c r="G48" s="50" t="str">
        <f t="shared" si="2"/>
        <v>　</v>
      </c>
      <c r="H48" s="72" t="s">
        <v>510</v>
      </c>
      <c r="I48" s="13" t="s">
        <v>511</v>
      </c>
      <c r="J48" s="66" t="s">
        <v>44</v>
      </c>
      <c r="K48" s="66" t="s">
        <v>512</v>
      </c>
      <c r="L48" s="13" t="s">
        <v>513</v>
      </c>
      <c r="M48" s="13" t="s">
        <v>72</v>
      </c>
      <c r="N48" s="73" t="s">
        <v>69</v>
      </c>
      <c r="O48" s="73" t="s">
        <v>73</v>
      </c>
      <c r="P48" s="13" t="s">
        <v>514</v>
      </c>
      <c r="Q48" s="13" t="s">
        <v>515</v>
      </c>
      <c r="R48" s="74">
        <v>39155</v>
      </c>
      <c r="S48" s="69">
        <v>39234</v>
      </c>
      <c r="T48" s="69">
        <v>39234</v>
      </c>
      <c r="U48" s="70" t="s">
        <v>52</v>
      </c>
      <c r="V48" s="69">
        <v>45748</v>
      </c>
      <c r="W48" s="64" t="s">
        <v>516</v>
      </c>
      <c r="X48" s="70" t="s">
        <v>54</v>
      </c>
      <c r="Y48" s="63">
        <v>1</v>
      </c>
      <c r="Z48" s="63">
        <v>1</v>
      </c>
      <c r="AA48" s="63">
        <v>41906</v>
      </c>
      <c r="AB48" s="63"/>
      <c r="AC48" s="13"/>
      <c r="AD48" s="13"/>
      <c r="AE48" s="13"/>
      <c r="AF48" s="63"/>
      <c r="AG48" s="63"/>
      <c r="AH48" s="63"/>
      <c r="AI48" s="63"/>
      <c r="AJ48" s="71"/>
      <c r="AK48" s="71"/>
    </row>
    <row r="49" spans="1:37" ht="81" customHeight="1" x14ac:dyDescent="0.55000000000000004">
      <c r="A49" s="62" t="s">
        <v>517</v>
      </c>
      <c r="B49" s="63"/>
      <c r="C49" s="64" t="s">
        <v>58</v>
      </c>
      <c r="D49" s="65">
        <v>2953941</v>
      </c>
      <c r="E49" s="48">
        <f t="shared" si="0"/>
        <v>7</v>
      </c>
      <c r="F49" s="49" t="str">
        <f t="shared" si="1"/>
        <v>1342953941</v>
      </c>
      <c r="G49" s="50" t="str">
        <f t="shared" si="2"/>
        <v>　</v>
      </c>
      <c r="H49" s="13" t="s">
        <v>518</v>
      </c>
      <c r="I49" s="13" t="s">
        <v>519</v>
      </c>
      <c r="J49" s="66" t="s">
        <v>44</v>
      </c>
      <c r="K49" s="13" t="s">
        <v>520</v>
      </c>
      <c r="L49" s="13" t="s">
        <v>521</v>
      </c>
      <c r="M49" s="13" t="s">
        <v>522</v>
      </c>
      <c r="N49" s="67" t="s">
        <v>523</v>
      </c>
      <c r="O49" s="67" t="s">
        <v>524</v>
      </c>
      <c r="P49" s="13" t="s">
        <v>525</v>
      </c>
      <c r="Q49" s="13" t="s">
        <v>526</v>
      </c>
      <c r="R49" s="68">
        <v>39132</v>
      </c>
      <c r="S49" s="69">
        <v>39173</v>
      </c>
      <c r="T49" s="69">
        <v>39173</v>
      </c>
      <c r="U49" s="64" t="s">
        <v>138</v>
      </c>
      <c r="V49" s="69">
        <v>41365</v>
      </c>
      <c r="W49" s="64" t="s">
        <v>527</v>
      </c>
      <c r="X49" s="70" t="s">
        <v>54</v>
      </c>
      <c r="Y49" s="63">
        <v>1</v>
      </c>
      <c r="Z49" s="63">
        <v>1</v>
      </c>
      <c r="AA49" s="63">
        <v>41904</v>
      </c>
      <c r="AB49" s="63">
        <v>42809</v>
      </c>
      <c r="AC49" s="13" t="s">
        <v>528</v>
      </c>
      <c r="AD49" s="13" t="s">
        <v>529</v>
      </c>
      <c r="AE49" s="13" t="s">
        <v>530</v>
      </c>
      <c r="AF49" s="63"/>
      <c r="AG49" s="63"/>
      <c r="AH49" s="63"/>
      <c r="AI49" s="63"/>
      <c r="AJ49" s="71"/>
      <c r="AK49" s="71"/>
    </row>
    <row r="50" spans="1:37" ht="54" customHeight="1" x14ac:dyDescent="0.55000000000000004">
      <c r="A50" s="62" t="s">
        <v>531</v>
      </c>
      <c r="B50" s="63"/>
      <c r="C50" s="64" t="s">
        <v>58</v>
      </c>
      <c r="D50" s="65">
        <v>2953958</v>
      </c>
      <c r="E50" s="48">
        <f t="shared" si="0"/>
        <v>7</v>
      </c>
      <c r="F50" s="49" t="str">
        <f t="shared" si="1"/>
        <v>1342953958</v>
      </c>
      <c r="G50" s="50" t="str">
        <f t="shared" si="2"/>
        <v>　</v>
      </c>
      <c r="H50" s="13" t="s">
        <v>532</v>
      </c>
      <c r="I50" s="78" t="s">
        <v>533</v>
      </c>
      <c r="J50" s="66" t="s">
        <v>44</v>
      </c>
      <c r="K50" s="13" t="s">
        <v>534</v>
      </c>
      <c r="L50" s="13" t="s">
        <v>535</v>
      </c>
      <c r="M50" s="13" t="s">
        <v>536</v>
      </c>
      <c r="N50" s="67"/>
      <c r="O50" s="67"/>
      <c r="P50" s="13" t="s">
        <v>537</v>
      </c>
      <c r="Q50" s="66" t="s">
        <v>538</v>
      </c>
      <c r="R50" s="74">
        <v>39416</v>
      </c>
      <c r="S50" s="79">
        <v>39479</v>
      </c>
      <c r="T50" s="79">
        <v>39479</v>
      </c>
      <c r="U50" s="77" t="s">
        <v>152</v>
      </c>
      <c r="V50" s="69">
        <v>41671</v>
      </c>
      <c r="W50" s="64" t="s">
        <v>539</v>
      </c>
      <c r="X50" s="70" t="s">
        <v>54</v>
      </c>
      <c r="Y50" s="63">
        <v>1</v>
      </c>
      <c r="Z50" s="63">
        <v>1</v>
      </c>
      <c r="AA50" s="63">
        <v>42002</v>
      </c>
      <c r="AB50" s="63">
        <v>42707</v>
      </c>
      <c r="AC50" s="13" t="s">
        <v>540</v>
      </c>
      <c r="AD50" s="13"/>
      <c r="AE50" s="13"/>
      <c r="AF50" s="63"/>
      <c r="AG50" s="63"/>
      <c r="AH50" s="63"/>
      <c r="AI50" s="63"/>
      <c r="AJ50" s="71"/>
      <c r="AK50" s="71"/>
    </row>
    <row r="51" spans="1:37" ht="54" customHeight="1" x14ac:dyDescent="0.55000000000000004">
      <c r="A51" s="62" t="s">
        <v>541</v>
      </c>
      <c r="B51" s="13"/>
      <c r="C51" s="77"/>
      <c r="D51" s="65">
        <v>2953982</v>
      </c>
      <c r="E51" s="48">
        <f t="shared" si="0"/>
        <v>7</v>
      </c>
      <c r="F51" s="49" t="str">
        <f t="shared" si="1"/>
        <v>1342953982</v>
      </c>
      <c r="G51" s="50" t="str">
        <f t="shared" si="2"/>
        <v>　</v>
      </c>
      <c r="H51" s="72" t="s">
        <v>542</v>
      </c>
      <c r="I51" s="65" t="s">
        <v>543</v>
      </c>
      <c r="J51" s="66" t="s">
        <v>44</v>
      </c>
      <c r="K51" s="13" t="s">
        <v>544</v>
      </c>
      <c r="L51" s="13" t="s">
        <v>545</v>
      </c>
      <c r="M51" s="13" t="s">
        <v>546</v>
      </c>
      <c r="N51" s="73" t="s">
        <v>547</v>
      </c>
      <c r="O51" s="73" t="s">
        <v>548</v>
      </c>
      <c r="P51" s="13" t="s">
        <v>549</v>
      </c>
      <c r="Q51" s="66" t="s">
        <v>550</v>
      </c>
      <c r="R51" s="74">
        <v>39479</v>
      </c>
      <c r="S51" s="79">
        <v>39539</v>
      </c>
      <c r="T51" s="79">
        <v>39539</v>
      </c>
      <c r="U51" s="77" t="s">
        <v>315</v>
      </c>
      <c r="V51" s="74">
        <v>46113</v>
      </c>
      <c r="W51" s="77" t="s">
        <v>316</v>
      </c>
      <c r="X51" s="70" t="s">
        <v>54</v>
      </c>
      <c r="Y51" s="63">
        <v>1</v>
      </c>
      <c r="Z51" s="63">
        <v>1</v>
      </c>
      <c r="AA51" s="63">
        <v>42004</v>
      </c>
      <c r="AB51" s="63"/>
      <c r="AC51" s="13" t="s">
        <v>551</v>
      </c>
      <c r="AD51" s="13"/>
      <c r="AE51" s="13"/>
      <c r="AF51" s="63"/>
      <c r="AG51" s="63"/>
      <c r="AH51" s="63"/>
      <c r="AI51" s="63"/>
      <c r="AJ51" s="71"/>
      <c r="AK51" s="71"/>
    </row>
    <row r="52" spans="1:37" ht="54" customHeight="1" x14ac:dyDescent="0.55000000000000004">
      <c r="A52" s="62" t="s">
        <v>552</v>
      </c>
      <c r="B52" s="63"/>
      <c r="C52" s="64"/>
      <c r="D52" s="65">
        <v>2954030</v>
      </c>
      <c r="E52" s="48">
        <f t="shared" si="0"/>
        <v>7</v>
      </c>
      <c r="F52" s="49" t="str">
        <f t="shared" si="1"/>
        <v>1342954030</v>
      </c>
      <c r="G52" s="50" t="str">
        <f t="shared" si="2"/>
        <v>　</v>
      </c>
      <c r="H52" s="72" t="s">
        <v>553</v>
      </c>
      <c r="I52" s="63" t="s">
        <v>339</v>
      </c>
      <c r="J52" s="66" t="s">
        <v>44</v>
      </c>
      <c r="K52" s="78" t="s">
        <v>554</v>
      </c>
      <c r="L52" s="13" t="s">
        <v>555</v>
      </c>
      <c r="M52" s="13" t="s">
        <v>556</v>
      </c>
      <c r="N52" s="73" t="s">
        <v>557</v>
      </c>
      <c r="O52" s="73" t="s">
        <v>558</v>
      </c>
      <c r="P52" s="13" t="s">
        <v>559</v>
      </c>
      <c r="Q52" s="13"/>
      <c r="R52" s="74">
        <v>39738</v>
      </c>
      <c r="S52" s="79">
        <v>39845</v>
      </c>
      <c r="T52" s="79">
        <v>39845</v>
      </c>
      <c r="U52" s="77" t="s">
        <v>560</v>
      </c>
      <c r="V52" s="79">
        <v>44228</v>
      </c>
      <c r="W52" s="77" t="s">
        <v>561</v>
      </c>
      <c r="X52" s="70" t="s">
        <v>54</v>
      </c>
      <c r="Y52" s="63">
        <v>1</v>
      </c>
      <c r="Z52" s="63">
        <v>1</v>
      </c>
      <c r="AA52" s="63">
        <v>42102</v>
      </c>
      <c r="AB52" s="63"/>
      <c r="AC52" s="13" t="s">
        <v>562</v>
      </c>
      <c r="AD52" s="13"/>
      <c r="AE52" s="13"/>
      <c r="AF52" s="63"/>
      <c r="AG52" s="63"/>
      <c r="AH52" s="63"/>
      <c r="AI52" s="63"/>
      <c r="AJ52" s="71"/>
      <c r="AK52" s="71"/>
    </row>
    <row r="53" spans="1:37" ht="54" customHeight="1" x14ac:dyDescent="0.55000000000000004">
      <c r="A53" s="62" t="s">
        <v>563</v>
      </c>
      <c r="B53" s="13"/>
      <c r="C53" s="64"/>
      <c r="D53" s="65">
        <v>2954055</v>
      </c>
      <c r="E53" s="48">
        <f t="shared" si="0"/>
        <v>7</v>
      </c>
      <c r="F53" s="49" t="str">
        <f t="shared" si="1"/>
        <v>1342954055</v>
      </c>
      <c r="G53" s="50" t="str">
        <f t="shared" si="2"/>
        <v>　</v>
      </c>
      <c r="H53" s="72" t="s">
        <v>564</v>
      </c>
      <c r="I53" s="13" t="s">
        <v>230</v>
      </c>
      <c r="J53" s="66" t="s">
        <v>44</v>
      </c>
      <c r="K53" s="13" t="s">
        <v>565</v>
      </c>
      <c r="L53" s="13" t="s">
        <v>566</v>
      </c>
      <c r="M53" s="13" t="s">
        <v>567</v>
      </c>
      <c r="N53" s="73" t="s">
        <v>230</v>
      </c>
      <c r="O53" s="73" t="s">
        <v>568</v>
      </c>
      <c r="P53" s="13" t="s">
        <v>569</v>
      </c>
      <c r="Q53" s="66" t="s">
        <v>570</v>
      </c>
      <c r="R53" s="68">
        <v>39036</v>
      </c>
      <c r="S53" s="68">
        <v>38808</v>
      </c>
      <c r="T53" s="69">
        <v>39083</v>
      </c>
      <c r="U53" s="64" t="s">
        <v>120</v>
      </c>
      <c r="V53" s="69">
        <v>45658</v>
      </c>
      <c r="W53" s="64" t="s">
        <v>571</v>
      </c>
      <c r="X53" s="70" t="s">
        <v>54</v>
      </c>
      <c r="Y53" s="63">
        <v>1</v>
      </c>
      <c r="Z53" s="63">
        <v>1</v>
      </c>
      <c r="AA53" s="75">
        <v>41901</v>
      </c>
      <c r="AB53" s="63"/>
      <c r="AC53" s="13" t="s">
        <v>572</v>
      </c>
      <c r="AD53" s="13"/>
      <c r="AE53" s="13"/>
      <c r="AF53" s="63"/>
      <c r="AG53" s="63"/>
      <c r="AH53" s="63"/>
      <c r="AI53" s="63"/>
      <c r="AJ53" s="71"/>
      <c r="AK53" s="71"/>
    </row>
    <row r="54" spans="1:37" ht="67.5" customHeight="1" x14ac:dyDescent="0.55000000000000004">
      <c r="A54" s="62" t="s">
        <v>573</v>
      </c>
      <c r="B54" s="13"/>
      <c r="C54" s="64" t="s">
        <v>58</v>
      </c>
      <c r="D54" s="65">
        <v>2955300</v>
      </c>
      <c r="E54" s="48">
        <f t="shared" si="0"/>
        <v>7</v>
      </c>
      <c r="F54" s="49" t="str">
        <f t="shared" si="1"/>
        <v>1342955300</v>
      </c>
      <c r="G54" s="50" t="str">
        <f t="shared" si="2"/>
        <v>　</v>
      </c>
      <c r="H54" s="13" t="s">
        <v>574</v>
      </c>
      <c r="I54" s="13" t="s">
        <v>80</v>
      </c>
      <c r="J54" s="66" t="s">
        <v>44</v>
      </c>
      <c r="K54" s="13" t="s">
        <v>575</v>
      </c>
      <c r="L54" s="13" t="s">
        <v>576</v>
      </c>
      <c r="M54" s="13" t="s">
        <v>577</v>
      </c>
      <c r="N54" s="67" t="s">
        <v>578</v>
      </c>
      <c r="O54" s="67" t="s">
        <v>579</v>
      </c>
      <c r="P54" s="13" t="s">
        <v>580</v>
      </c>
      <c r="Q54" s="13" t="s">
        <v>581</v>
      </c>
      <c r="R54" s="68">
        <v>39108</v>
      </c>
      <c r="S54" s="68">
        <v>38808</v>
      </c>
      <c r="T54" s="69">
        <v>39114</v>
      </c>
      <c r="U54" s="64" t="s">
        <v>65</v>
      </c>
      <c r="V54" s="69">
        <v>41306</v>
      </c>
      <c r="W54" s="64" t="s">
        <v>582</v>
      </c>
      <c r="X54" s="70" t="s">
        <v>54</v>
      </c>
      <c r="Y54" s="63">
        <v>1</v>
      </c>
      <c r="Z54" s="63">
        <v>1</v>
      </c>
      <c r="AA54" s="63">
        <v>41902</v>
      </c>
      <c r="AB54" s="63">
        <v>43001</v>
      </c>
      <c r="AC54" s="13" t="s">
        <v>583</v>
      </c>
      <c r="AD54" s="13" t="s">
        <v>584</v>
      </c>
      <c r="AE54" s="13"/>
      <c r="AF54" s="63"/>
      <c r="AG54" s="63"/>
      <c r="AH54" s="63"/>
      <c r="AI54" s="63"/>
      <c r="AJ54" s="71"/>
      <c r="AK54" s="71"/>
    </row>
    <row r="55" spans="1:37" ht="27" customHeight="1" x14ac:dyDescent="0.55000000000000004">
      <c r="A55" s="62" t="s">
        <v>585</v>
      </c>
      <c r="B55" s="13"/>
      <c r="C55" s="64"/>
      <c r="D55" s="65">
        <v>2954147</v>
      </c>
      <c r="E55" s="48">
        <f t="shared" si="0"/>
        <v>7</v>
      </c>
      <c r="F55" s="49" t="str">
        <f t="shared" si="1"/>
        <v>1342954147</v>
      </c>
      <c r="G55" s="50" t="str">
        <f t="shared" si="2"/>
        <v>　</v>
      </c>
      <c r="H55" s="72" t="s">
        <v>586</v>
      </c>
      <c r="I55" s="13" t="s">
        <v>587</v>
      </c>
      <c r="J55" s="66" t="s">
        <v>44</v>
      </c>
      <c r="K55" s="13" t="s">
        <v>588</v>
      </c>
      <c r="L55" s="13" t="s">
        <v>589</v>
      </c>
      <c r="M55" s="13" t="s">
        <v>147</v>
      </c>
      <c r="N55" s="73" t="s">
        <v>113</v>
      </c>
      <c r="O55" s="73" t="s">
        <v>590</v>
      </c>
      <c r="P55" s="13" t="s">
        <v>591</v>
      </c>
      <c r="Q55" s="66" t="s">
        <v>592</v>
      </c>
      <c r="R55" s="68"/>
      <c r="S55" s="69">
        <v>38899</v>
      </c>
      <c r="T55" s="69">
        <v>38899</v>
      </c>
      <c r="U55" s="64" t="s">
        <v>593</v>
      </c>
      <c r="V55" s="69">
        <v>45474</v>
      </c>
      <c r="W55" s="64" t="s">
        <v>594</v>
      </c>
      <c r="X55" s="70" t="s">
        <v>54</v>
      </c>
      <c r="Y55" s="63">
        <v>1</v>
      </c>
      <c r="Z55" s="63">
        <v>1</v>
      </c>
      <c r="AA55" s="63">
        <v>41807</v>
      </c>
      <c r="AB55" s="63"/>
      <c r="AC55" s="13" t="s">
        <v>595</v>
      </c>
      <c r="AD55" s="13"/>
      <c r="AE55" s="13"/>
      <c r="AF55" s="63"/>
      <c r="AG55" s="63"/>
      <c r="AH55" s="63"/>
      <c r="AI55" s="63"/>
      <c r="AJ55" s="71"/>
      <c r="AK55" s="71"/>
    </row>
    <row r="56" spans="1:37" ht="40.5" customHeight="1" x14ac:dyDescent="0.55000000000000004">
      <c r="A56" s="62" t="s">
        <v>596</v>
      </c>
      <c r="B56" s="63"/>
      <c r="C56" s="64"/>
      <c r="D56" s="78">
        <v>2955946</v>
      </c>
      <c r="E56" s="48">
        <f t="shared" si="0"/>
        <v>7</v>
      </c>
      <c r="F56" s="49" t="str">
        <f t="shared" si="1"/>
        <v>1342955946</v>
      </c>
      <c r="G56" s="50" t="str">
        <f t="shared" si="2"/>
        <v>　</v>
      </c>
      <c r="H56" s="72" t="s">
        <v>597</v>
      </c>
      <c r="I56" s="82" t="s">
        <v>598</v>
      </c>
      <c r="J56" s="66" t="s">
        <v>44</v>
      </c>
      <c r="K56" s="13" t="s">
        <v>599</v>
      </c>
      <c r="L56" s="13" t="s">
        <v>600</v>
      </c>
      <c r="M56" s="13" t="s">
        <v>601</v>
      </c>
      <c r="N56" s="73" t="s">
        <v>602</v>
      </c>
      <c r="O56" s="73" t="s">
        <v>603</v>
      </c>
      <c r="P56" s="13" t="s">
        <v>604</v>
      </c>
      <c r="Q56" s="66" t="s">
        <v>605</v>
      </c>
      <c r="R56" s="68">
        <v>40148</v>
      </c>
      <c r="S56" s="69">
        <v>40210</v>
      </c>
      <c r="T56" s="69">
        <v>40210</v>
      </c>
      <c r="U56" s="64" t="s">
        <v>606</v>
      </c>
      <c r="V56" s="69">
        <v>44593</v>
      </c>
      <c r="W56" s="64" t="s">
        <v>607</v>
      </c>
      <c r="X56" s="77" t="s">
        <v>54</v>
      </c>
      <c r="Y56" s="63">
        <v>1</v>
      </c>
      <c r="Z56" s="63">
        <v>1</v>
      </c>
      <c r="AA56" s="63">
        <v>42202</v>
      </c>
      <c r="AB56" s="63"/>
      <c r="AC56" s="13" t="s">
        <v>608</v>
      </c>
      <c r="AD56" s="13" t="s">
        <v>609</v>
      </c>
      <c r="AE56" s="13" t="s">
        <v>610</v>
      </c>
      <c r="AF56" s="63"/>
      <c r="AG56" s="63"/>
      <c r="AH56" s="63"/>
      <c r="AI56" s="63"/>
      <c r="AJ56" s="71"/>
      <c r="AK56" s="71"/>
    </row>
    <row r="57" spans="1:37" ht="67.5" customHeight="1" x14ac:dyDescent="0.55000000000000004">
      <c r="A57" s="62" t="s">
        <v>611</v>
      </c>
      <c r="B57" s="13"/>
      <c r="C57" s="64"/>
      <c r="D57" s="65">
        <v>2955532</v>
      </c>
      <c r="E57" s="48">
        <f t="shared" si="0"/>
        <v>7</v>
      </c>
      <c r="F57" s="49" t="str">
        <f t="shared" si="1"/>
        <v>1342955532</v>
      </c>
      <c r="G57" s="50" t="str">
        <f t="shared" si="2"/>
        <v>　</v>
      </c>
      <c r="H57" s="72" t="s">
        <v>612</v>
      </c>
      <c r="I57" s="13" t="s">
        <v>98</v>
      </c>
      <c r="J57" s="66" t="s">
        <v>44</v>
      </c>
      <c r="K57" s="13" t="s">
        <v>613</v>
      </c>
      <c r="L57" s="13" t="s">
        <v>614</v>
      </c>
      <c r="M57" s="13" t="s">
        <v>615</v>
      </c>
      <c r="N57" s="73" t="s">
        <v>616</v>
      </c>
      <c r="O57" s="73" t="s">
        <v>617</v>
      </c>
      <c r="P57" s="13" t="s">
        <v>618</v>
      </c>
      <c r="Q57" s="66" t="s">
        <v>619</v>
      </c>
      <c r="R57" s="74"/>
      <c r="S57" s="69">
        <v>38899</v>
      </c>
      <c r="T57" s="69">
        <v>38899</v>
      </c>
      <c r="U57" s="64" t="s">
        <v>593</v>
      </c>
      <c r="V57" s="69">
        <v>45474</v>
      </c>
      <c r="W57" s="64" t="s">
        <v>620</v>
      </c>
      <c r="X57" s="70" t="s">
        <v>54</v>
      </c>
      <c r="Y57" s="63">
        <v>1</v>
      </c>
      <c r="Z57" s="63">
        <v>1</v>
      </c>
      <c r="AA57" s="63">
        <v>41807</v>
      </c>
      <c r="AB57" s="63"/>
      <c r="AC57" s="13" t="s">
        <v>621</v>
      </c>
      <c r="AD57" s="13" t="s">
        <v>622</v>
      </c>
      <c r="AE57" s="13" t="s">
        <v>623</v>
      </c>
      <c r="AF57" s="13" t="s">
        <v>624</v>
      </c>
      <c r="AG57" s="13" t="s">
        <v>625</v>
      </c>
      <c r="AH57" s="13" t="s">
        <v>626</v>
      </c>
      <c r="AI57" s="13" t="s">
        <v>627</v>
      </c>
      <c r="AJ57" s="13" t="s">
        <v>628</v>
      </c>
      <c r="AK57" s="13" t="s">
        <v>629</v>
      </c>
    </row>
    <row r="58" spans="1:37" ht="54" customHeight="1" x14ac:dyDescent="0.55000000000000004">
      <c r="A58" s="62" t="s">
        <v>630</v>
      </c>
      <c r="B58" s="13"/>
      <c r="C58" s="64"/>
      <c r="D58" s="65">
        <v>2954246</v>
      </c>
      <c r="E58" s="48">
        <f t="shared" si="0"/>
        <v>7</v>
      </c>
      <c r="F58" s="49" t="str">
        <f t="shared" si="1"/>
        <v>1342954246</v>
      </c>
      <c r="G58" s="50" t="str">
        <f t="shared" si="2"/>
        <v>　</v>
      </c>
      <c r="H58" s="72" t="s">
        <v>631</v>
      </c>
      <c r="I58" s="13" t="s">
        <v>390</v>
      </c>
      <c r="J58" s="66" t="s">
        <v>632</v>
      </c>
      <c r="K58" s="13" t="s">
        <v>633</v>
      </c>
      <c r="L58" s="13" t="s">
        <v>634</v>
      </c>
      <c r="M58" s="13" t="s">
        <v>522</v>
      </c>
      <c r="N58" s="73" t="s">
        <v>523</v>
      </c>
      <c r="O58" s="73" t="s">
        <v>524</v>
      </c>
      <c r="P58" s="13" t="s">
        <v>635</v>
      </c>
      <c r="Q58" s="66" t="s">
        <v>636</v>
      </c>
      <c r="R58" s="68">
        <v>39020</v>
      </c>
      <c r="S58" s="69">
        <v>38808</v>
      </c>
      <c r="T58" s="69">
        <v>39083</v>
      </c>
      <c r="U58" s="64" t="s">
        <v>637</v>
      </c>
      <c r="V58" s="69">
        <v>45658</v>
      </c>
      <c r="W58" s="64" t="s">
        <v>638</v>
      </c>
      <c r="X58" s="70" t="s">
        <v>459</v>
      </c>
      <c r="Y58" s="63">
        <v>1</v>
      </c>
      <c r="Z58" s="63">
        <v>1</v>
      </c>
      <c r="AA58" s="63">
        <v>41901</v>
      </c>
      <c r="AB58" s="63"/>
      <c r="AC58" s="13" t="s">
        <v>639</v>
      </c>
      <c r="AD58" s="13" t="s">
        <v>529</v>
      </c>
      <c r="AE58" s="13"/>
      <c r="AF58" s="13"/>
      <c r="AG58" s="13"/>
      <c r="AH58" s="13"/>
      <c r="AI58" s="13"/>
      <c r="AJ58" s="71"/>
      <c r="AK58" s="71"/>
    </row>
    <row r="59" spans="1:37" ht="54" customHeight="1" x14ac:dyDescent="0.55000000000000004">
      <c r="A59" s="62" t="s">
        <v>640</v>
      </c>
      <c r="B59" s="13"/>
      <c r="C59" s="64"/>
      <c r="D59" s="65">
        <v>2955326</v>
      </c>
      <c r="E59" s="48">
        <f t="shared" si="0"/>
        <v>7</v>
      </c>
      <c r="F59" s="49" t="str">
        <f t="shared" si="1"/>
        <v>1342955326</v>
      </c>
      <c r="G59" s="50" t="str">
        <f t="shared" si="2"/>
        <v>　</v>
      </c>
      <c r="H59" s="72" t="s">
        <v>641</v>
      </c>
      <c r="I59" s="13" t="s">
        <v>80</v>
      </c>
      <c r="J59" s="66" t="s">
        <v>44</v>
      </c>
      <c r="K59" s="13" t="s">
        <v>642</v>
      </c>
      <c r="L59" s="13" t="s">
        <v>643</v>
      </c>
      <c r="M59" s="13" t="s">
        <v>644</v>
      </c>
      <c r="N59" s="73" t="s">
        <v>102</v>
      </c>
      <c r="O59" s="73" t="s">
        <v>103</v>
      </c>
      <c r="P59" s="13" t="s">
        <v>645</v>
      </c>
      <c r="Q59" s="84" t="s">
        <v>646</v>
      </c>
      <c r="R59" s="68">
        <v>39050</v>
      </c>
      <c r="S59" s="69">
        <v>38808</v>
      </c>
      <c r="T59" s="69">
        <v>39083</v>
      </c>
      <c r="U59" s="64" t="s">
        <v>426</v>
      </c>
      <c r="V59" s="69">
        <v>45658</v>
      </c>
      <c r="W59" s="64" t="s">
        <v>647</v>
      </c>
      <c r="X59" s="70" t="s">
        <v>54</v>
      </c>
      <c r="Y59" s="63">
        <v>1</v>
      </c>
      <c r="Z59" s="63">
        <v>1</v>
      </c>
      <c r="AA59" s="75">
        <v>41901</v>
      </c>
      <c r="AB59" s="63"/>
      <c r="AC59" s="13" t="s">
        <v>648</v>
      </c>
      <c r="AD59" s="13" t="s">
        <v>649</v>
      </c>
      <c r="AE59" s="13" t="s">
        <v>650</v>
      </c>
      <c r="AF59" s="13" t="s">
        <v>651</v>
      </c>
      <c r="AG59" s="13" t="s">
        <v>110</v>
      </c>
      <c r="AH59" s="63"/>
      <c r="AI59" s="63"/>
      <c r="AJ59" s="71"/>
      <c r="AK59" s="71"/>
    </row>
    <row r="60" spans="1:37" ht="78" x14ac:dyDescent="0.55000000000000004">
      <c r="A60" s="62" t="s">
        <v>652</v>
      </c>
      <c r="B60" s="13"/>
      <c r="C60" s="64"/>
      <c r="D60" s="65">
        <v>2954378</v>
      </c>
      <c r="E60" s="48">
        <f t="shared" si="0"/>
        <v>7</v>
      </c>
      <c r="F60" s="49" t="str">
        <f t="shared" si="1"/>
        <v>1342954378</v>
      </c>
      <c r="G60" s="50" t="str">
        <f t="shared" si="2"/>
        <v>　</v>
      </c>
      <c r="H60" s="72" t="s">
        <v>653</v>
      </c>
      <c r="I60" s="13" t="s">
        <v>654</v>
      </c>
      <c r="J60" s="66" t="s">
        <v>44</v>
      </c>
      <c r="K60" s="13" t="s">
        <v>655</v>
      </c>
      <c r="L60" s="13" t="s">
        <v>656</v>
      </c>
      <c r="M60" s="13" t="s">
        <v>657</v>
      </c>
      <c r="N60" s="73" t="s">
        <v>658</v>
      </c>
      <c r="O60" s="73" t="s">
        <v>659</v>
      </c>
      <c r="P60" s="13" t="s">
        <v>660</v>
      </c>
      <c r="Q60" s="66" t="s">
        <v>661</v>
      </c>
      <c r="R60" s="68">
        <v>38997</v>
      </c>
      <c r="S60" s="69">
        <v>38808</v>
      </c>
      <c r="T60" s="69">
        <v>39083</v>
      </c>
      <c r="U60" s="64" t="s">
        <v>254</v>
      </c>
      <c r="V60" s="69">
        <v>45658</v>
      </c>
      <c r="W60" s="64" t="s">
        <v>662</v>
      </c>
      <c r="X60" s="70" t="s">
        <v>54</v>
      </c>
      <c r="Y60" s="63">
        <v>1</v>
      </c>
      <c r="Z60" s="63">
        <v>1</v>
      </c>
      <c r="AA60" s="75">
        <v>41901</v>
      </c>
      <c r="AB60" s="63"/>
      <c r="AC60" s="13" t="s">
        <v>663</v>
      </c>
      <c r="AD60" s="13" t="s">
        <v>664</v>
      </c>
      <c r="AE60" s="13"/>
      <c r="AF60" s="63"/>
      <c r="AG60" s="63"/>
      <c r="AH60" s="63"/>
      <c r="AI60" s="63"/>
      <c r="AJ60" s="71"/>
      <c r="AK60" s="71"/>
    </row>
    <row r="61" spans="1:37" ht="27" customHeight="1" x14ac:dyDescent="0.55000000000000004">
      <c r="A61" s="62" t="s">
        <v>665</v>
      </c>
      <c r="B61" s="63"/>
      <c r="C61" s="64" t="s">
        <v>58</v>
      </c>
      <c r="D61" s="65">
        <v>2954394</v>
      </c>
      <c r="E61" s="48">
        <f t="shared" si="0"/>
        <v>7</v>
      </c>
      <c r="F61" s="49" t="str">
        <f t="shared" si="1"/>
        <v>1342954394</v>
      </c>
      <c r="G61" s="50" t="str">
        <f t="shared" si="2"/>
        <v>　</v>
      </c>
      <c r="H61" s="85" t="s">
        <v>666</v>
      </c>
      <c r="I61" s="82" t="s">
        <v>667</v>
      </c>
      <c r="J61" s="66" t="s">
        <v>44</v>
      </c>
      <c r="K61" s="13" t="s">
        <v>668</v>
      </c>
      <c r="L61" s="86" t="s">
        <v>669</v>
      </c>
      <c r="M61" s="13" t="s">
        <v>615</v>
      </c>
      <c r="N61" s="67" t="s">
        <v>670</v>
      </c>
      <c r="O61" s="67" t="s">
        <v>671</v>
      </c>
      <c r="P61" s="13" t="s">
        <v>672</v>
      </c>
      <c r="Q61" s="66"/>
      <c r="R61" s="68">
        <v>40626</v>
      </c>
      <c r="S61" s="69">
        <v>40695</v>
      </c>
      <c r="T61" s="69">
        <v>40695</v>
      </c>
      <c r="U61" s="64" t="s">
        <v>673</v>
      </c>
      <c r="V61" s="64"/>
      <c r="W61" s="64"/>
      <c r="X61" s="70" t="s">
        <v>54</v>
      </c>
      <c r="Y61" s="63">
        <v>1</v>
      </c>
      <c r="Z61" s="63">
        <v>1</v>
      </c>
      <c r="AA61" s="75">
        <v>42306</v>
      </c>
      <c r="AB61" s="63">
        <v>42307</v>
      </c>
      <c r="AC61" s="13" t="s">
        <v>674</v>
      </c>
      <c r="AD61" s="13"/>
      <c r="AE61" s="13"/>
      <c r="AF61" s="63"/>
      <c r="AG61" s="63"/>
      <c r="AH61" s="63"/>
      <c r="AI61" s="63"/>
      <c r="AJ61" s="71"/>
      <c r="AK61" s="71"/>
    </row>
    <row r="62" spans="1:37" ht="40.5" customHeight="1" x14ac:dyDescent="0.55000000000000004">
      <c r="A62" s="62" t="s">
        <v>665</v>
      </c>
      <c r="B62" s="13"/>
      <c r="C62" s="64"/>
      <c r="D62" s="65">
        <v>2954394</v>
      </c>
      <c r="E62" s="48">
        <f t="shared" si="0"/>
        <v>7</v>
      </c>
      <c r="F62" s="49" t="str">
        <f t="shared" si="1"/>
        <v>1342954394</v>
      </c>
      <c r="G62" s="50" t="str">
        <f t="shared" si="2"/>
        <v>二重</v>
      </c>
      <c r="H62" s="72" t="s">
        <v>675</v>
      </c>
      <c r="I62" s="82" t="s">
        <v>98</v>
      </c>
      <c r="J62" s="66" t="s">
        <v>44</v>
      </c>
      <c r="K62" s="13" t="s">
        <v>668</v>
      </c>
      <c r="L62" s="13" t="s">
        <v>669</v>
      </c>
      <c r="M62" s="13" t="s">
        <v>676</v>
      </c>
      <c r="N62" s="73" t="s">
        <v>616</v>
      </c>
      <c r="O62" s="73" t="s">
        <v>617</v>
      </c>
      <c r="P62" s="13" t="s">
        <v>677</v>
      </c>
      <c r="Q62" s="87" t="s">
        <v>678</v>
      </c>
      <c r="R62" s="68">
        <v>40940</v>
      </c>
      <c r="S62" s="69">
        <v>41000</v>
      </c>
      <c r="T62" s="69">
        <v>41000</v>
      </c>
      <c r="U62" s="64" t="s">
        <v>679</v>
      </c>
      <c r="V62" s="69">
        <v>45383</v>
      </c>
      <c r="W62" s="64" t="s">
        <v>680</v>
      </c>
      <c r="X62" s="70" t="s">
        <v>54</v>
      </c>
      <c r="Y62" s="63">
        <v>1</v>
      </c>
      <c r="Z62" s="63">
        <v>1</v>
      </c>
      <c r="AA62" s="63">
        <v>42404</v>
      </c>
      <c r="AB62" s="63"/>
      <c r="AC62" s="66" t="s">
        <v>681</v>
      </c>
      <c r="AD62" s="13" t="s">
        <v>627</v>
      </c>
      <c r="AE62" s="13" t="s">
        <v>628</v>
      </c>
      <c r="AF62" s="13" t="s">
        <v>629</v>
      </c>
      <c r="AG62" s="63"/>
      <c r="AH62" s="63"/>
      <c r="AI62" s="63"/>
      <c r="AJ62" s="71"/>
      <c r="AK62" s="71"/>
    </row>
    <row r="63" spans="1:37" ht="39" x14ac:dyDescent="0.55000000000000004">
      <c r="A63" s="62" t="s">
        <v>682</v>
      </c>
      <c r="B63" s="13"/>
      <c r="C63" s="64"/>
      <c r="D63" s="65">
        <v>2954410</v>
      </c>
      <c r="E63" s="48">
        <f t="shared" si="0"/>
        <v>7</v>
      </c>
      <c r="F63" s="49" t="str">
        <f t="shared" si="1"/>
        <v>1342954410</v>
      </c>
      <c r="G63" s="50" t="str">
        <f t="shared" si="2"/>
        <v>　</v>
      </c>
      <c r="H63" s="72" t="s">
        <v>683</v>
      </c>
      <c r="I63" s="88" t="s">
        <v>684</v>
      </c>
      <c r="J63" s="66" t="s">
        <v>44</v>
      </c>
      <c r="K63" s="13" t="s">
        <v>685</v>
      </c>
      <c r="L63" s="13" t="s">
        <v>686</v>
      </c>
      <c r="M63" s="13" t="s">
        <v>687</v>
      </c>
      <c r="N63" s="73" t="s">
        <v>684</v>
      </c>
      <c r="O63" s="73" t="s">
        <v>688</v>
      </c>
      <c r="P63" s="13" t="s">
        <v>689</v>
      </c>
      <c r="Q63" s="66"/>
      <c r="R63" s="68">
        <v>40693</v>
      </c>
      <c r="S63" s="69">
        <v>40756</v>
      </c>
      <c r="T63" s="69">
        <v>40756</v>
      </c>
      <c r="U63" s="64" t="s">
        <v>690</v>
      </c>
      <c r="V63" s="69">
        <v>45108</v>
      </c>
      <c r="W63" s="64" t="s">
        <v>691</v>
      </c>
      <c r="X63" s="70" t="s">
        <v>54</v>
      </c>
      <c r="Y63" s="63">
        <v>1</v>
      </c>
      <c r="Z63" s="63">
        <v>1</v>
      </c>
      <c r="AA63" s="63">
        <v>42308</v>
      </c>
      <c r="AB63" s="63"/>
      <c r="AC63" s="13" t="s">
        <v>692</v>
      </c>
      <c r="AD63" s="13"/>
      <c r="AE63" s="13"/>
      <c r="AF63" s="63"/>
      <c r="AG63" s="63"/>
      <c r="AH63" s="63"/>
      <c r="AI63" s="63"/>
      <c r="AJ63" s="71"/>
      <c r="AK63" s="71"/>
    </row>
    <row r="64" spans="1:37" ht="67.5" customHeight="1" x14ac:dyDescent="0.55000000000000004">
      <c r="A64" s="62" t="s">
        <v>693</v>
      </c>
      <c r="B64" s="13"/>
      <c r="C64" s="64"/>
      <c r="D64" s="65">
        <v>2955086</v>
      </c>
      <c r="E64" s="48">
        <f t="shared" si="0"/>
        <v>7</v>
      </c>
      <c r="F64" s="49" t="str">
        <f t="shared" si="1"/>
        <v>1342955086</v>
      </c>
      <c r="G64" s="50" t="str">
        <f t="shared" si="2"/>
        <v>　</v>
      </c>
      <c r="H64" s="72" t="s">
        <v>694</v>
      </c>
      <c r="I64" s="88" t="s">
        <v>695</v>
      </c>
      <c r="J64" s="66" t="s">
        <v>44</v>
      </c>
      <c r="K64" s="13" t="s">
        <v>696</v>
      </c>
      <c r="L64" s="13" t="s">
        <v>697</v>
      </c>
      <c r="M64" s="13" t="s">
        <v>698</v>
      </c>
      <c r="N64" s="73" t="s">
        <v>699</v>
      </c>
      <c r="O64" s="73" t="s">
        <v>700</v>
      </c>
      <c r="P64" s="13" t="s">
        <v>701</v>
      </c>
      <c r="Q64" s="66" t="s">
        <v>702</v>
      </c>
      <c r="R64" s="68">
        <v>40691</v>
      </c>
      <c r="S64" s="69">
        <v>40756</v>
      </c>
      <c r="T64" s="69">
        <v>40756</v>
      </c>
      <c r="U64" s="64" t="s">
        <v>690</v>
      </c>
      <c r="V64" s="69">
        <v>45108</v>
      </c>
      <c r="W64" s="89" t="s">
        <v>703</v>
      </c>
      <c r="X64" s="70" t="s">
        <v>54</v>
      </c>
      <c r="Y64" s="63">
        <v>1</v>
      </c>
      <c r="Z64" s="63">
        <v>1</v>
      </c>
      <c r="AA64" s="63">
        <v>42308</v>
      </c>
      <c r="AB64" s="63"/>
      <c r="AC64" s="13" t="s">
        <v>704</v>
      </c>
      <c r="AD64" s="13" t="s">
        <v>705</v>
      </c>
      <c r="AE64" s="13" t="s">
        <v>706</v>
      </c>
      <c r="AF64" s="13" t="s">
        <v>707</v>
      </c>
      <c r="AG64" s="63"/>
      <c r="AH64" s="63"/>
      <c r="AI64" s="63"/>
      <c r="AJ64" s="71"/>
      <c r="AK64" s="71"/>
    </row>
    <row r="65" spans="1:37" ht="54" customHeight="1" x14ac:dyDescent="0.55000000000000004">
      <c r="A65" s="62" t="s">
        <v>708</v>
      </c>
      <c r="B65" s="63"/>
      <c r="C65" s="64"/>
      <c r="D65" s="65">
        <v>2955391</v>
      </c>
      <c r="E65" s="48">
        <f t="shared" si="0"/>
        <v>7</v>
      </c>
      <c r="F65" s="49" t="str">
        <f t="shared" si="1"/>
        <v>1342955391</v>
      </c>
      <c r="G65" s="50" t="str">
        <f t="shared" si="2"/>
        <v>　</v>
      </c>
      <c r="H65" s="72" t="s">
        <v>709</v>
      </c>
      <c r="I65" s="66" t="s">
        <v>98</v>
      </c>
      <c r="J65" s="66" t="s">
        <v>44</v>
      </c>
      <c r="K65" s="13" t="s">
        <v>710</v>
      </c>
      <c r="L65" s="13" t="s">
        <v>711</v>
      </c>
      <c r="M65" s="13" t="s">
        <v>601</v>
      </c>
      <c r="N65" s="73" t="s">
        <v>602</v>
      </c>
      <c r="O65" s="73" t="s">
        <v>712</v>
      </c>
      <c r="P65" s="13" t="s">
        <v>713</v>
      </c>
      <c r="Q65" s="66" t="s">
        <v>714</v>
      </c>
      <c r="R65" s="68">
        <v>40759</v>
      </c>
      <c r="S65" s="69">
        <v>40817</v>
      </c>
      <c r="T65" s="69">
        <v>40817</v>
      </c>
      <c r="U65" s="64" t="s">
        <v>715</v>
      </c>
      <c r="V65" s="69">
        <v>45108</v>
      </c>
      <c r="W65" s="89" t="s">
        <v>703</v>
      </c>
      <c r="X65" s="70" t="s">
        <v>54</v>
      </c>
      <c r="Y65" s="63">
        <v>1</v>
      </c>
      <c r="Z65" s="63">
        <v>1</v>
      </c>
      <c r="AA65" s="63">
        <v>42310</v>
      </c>
      <c r="AB65" s="63"/>
      <c r="AC65" s="13" t="s">
        <v>716</v>
      </c>
      <c r="AD65" s="13" t="s">
        <v>717</v>
      </c>
      <c r="AE65" s="13" t="s">
        <v>718</v>
      </c>
      <c r="AF65" s="13" t="s">
        <v>609</v>
      </c>
      <c r="AG65" s="63"/>
      <c r="AH65" s="63"/>
      <c r="AI65" s="63"/>
      <c r="AJ65" s="71"/>
      <c r="AK65" s="71"/>
    </row>
    <row r="66" spans="1:37" ht="26" x14ac:dyDescent="0.55000000000000004">
      <c r="A66" s="62" t="s">
        <v>719</v>
      </c>
      <c r="B66" s="62"/>
      <c r="C66" s="64" t="s">
        <v>58</v>
      </c>
      <c r="D66" s="65">
        <v>2954477</v>
      </c>
      <c r="E66" s="48">
        <f t="shared" si="0"/>
        <v>7</v>
      </c>
      <c r="F66" s="49" t="str">
        <f t="shared" si="1"/>
        <v>1342954477</v>
      </c>
      <c r="G66" s="50" t="str">
        <f t="shared" si="2"/>
        <v>　</v>
      </c>
      <c r="H66" s="13" t="s">
        <v>720</v>
      </c>
      <c r="I66" s="66" t="s">
        <v>721</v>
      </c>
      <c r="J66" s="66" t="s">
        <v>44</v>
      </c>
      <c r="K66" s="13" t="s">
        <v>722</v>
      </c>
      <c r="L66" s="13" t="s">
        <v>723</v>
      </c>
      <c r="M66" s="13" t="s">
        <v>724</v>
      </c>
      <c r="N66" s="73"/>
      <c r="O66" s="67"/>
      <c r="P66" s="13" t="s">
        <v>725</v>
      </c>
      <c r="Q66" s="66"/>
      <c r="R66" s="68">
        <v>40738</v>
      </c>
      <c r="S66" s="68">
        <v>40817</v>
      </c>
      <c r="T66" s="69">
        <v>40817</v>
      </c>
      <c r="U66" s="64" t="s">
        <v>715</v>
      </c>
      <c r="V66" s="64"/>
      <c r="W66" s="64"/>
      <c r="X66" s="70" t="s">
        <v>54</v>
      </c>
      <c r="Y66" s="63">
        <v>1</v>
      </c>
      <c r="Z66" s="63">
        <v>1</v>
      </c>
      <c r="AA66" s="63">
        <v>42310</v>
      </c>
      <c r="AB66" s="63">
        <v>42408</v>
      </c>
      <c r="AC66" s="13" t="s">
        <v>726</v>
      </c>
      <c r="AD66" s="13"/>
      <c r="AE66" s="13"/>
      <c r="AF66" s="63"/>
      <c r="AG66" s="63"/>
      <c r="AH66" s="63"/>
      <c r="AI66" s="63"/>
      <c r="AJ66" s="71"/>
      <c r="AK66" s="71"/>
    </row>
    <row r="67" spans="1:37" ht="61.5" customHeight="1" x14ac:dyDescent="0.55000000000000004">
      <c r="A67" s="62" t="s">
        <v>727</v>
      </c>
      <c r="B67" s="13"/>
      <c r="C67" s="64"/>
      <c r="D67" s="65">
        <v>2954535</v>
      </c>
      <c r="E67" s="48">
        <f t="shared" si="0"/>
        <v>7</v>
      </c>
      <c r="F67" s="49" t="str">
        <f t="shared" si="1"/>
        <v>1342954535</v>
      </c>
      <c r="G67" s="50" t="str">
        <f t="shared" si="2"/>
        <v>　</v>
      </c>
      <c r="H67" s="72" t="s">
        <v>728</v>
      </c>
      <c r="I67" s="82" t="s">
        <v>729</v>
      </c>
      <c r="J67" s="66" t="s">
        <v>44</v>
      </c>
      <c r="K67" s="13" t="s">
        <v>730</v>
      </c>
      <c r="L67" s="13" t="s">
        <v>731</v>
      </c>
      <c r="M67" s="13" t="s">
        <v>732</v>
      </c>
      <c r="N67" s="73" t="s">
        <v>557</v>
      </c>
      <c r="O67" s="73" t="s">
        <v>558</v>
      </c>
      <c r="P67" s="13" t="s">
        <v>733</v>
      </c>
      <c r="Q67" s="66" t="s">
        <v>734</v>
      </c>
      <c r="R67" s="68">
        <v>40833</v>
      </c>
      <c r="S67" s="69">
        <v>40940</v>
      </c>
      <c r="T67" s="69">
        <v>40940</v>
      </c>
      <c r="U67" s="64" t="s">
        <v>469</v>
      </c>
      <c r="V67" s="69">
        <v>45292</v>
      </c>
      <c r="W67" s="64" t="s">
        <v>735</v>
      </c>
      <c r="X67" s="70" t="s">
        <v>54</v>
      </c>
      <c r="Y67" s="63">
        <v>1</v>
      </c>
      <c r="Z67" s="63">
        <v>1</v>
      </c>
      <c r="AA67" s="63">
        <v>42402</v>
      </c>
      <c r="AB67" s="63"/>
      <c r="AC67" s="13" t="s">
        <v>562</v>
      </c>
      <c r="AD67" s="13"/>
      <c r="AE67" s="13"/>
      <c r="AF67" s="63"/>
      <c r="AG67" s="63"/>
      <c r="AH67" s="63"/>
      <c r="AI67" s="63"/>
      <c r="AJ67" s="71"/>
      <c r="AK67" s="71"/>
    </row>
    <row r="68" spans="1:37" ht="54" customHeight="1" x14ac:dyDescent="0.55000000000000004">
      <c r="A68" s="62" t="s">
        <v>736</v>
      </c>
      <c r="B68" s="64"/>
      <c r="C68" s="64"/>
      <c r="D68" s="65">
        <v>2954576</v>
      </c>
      <c r="E68" s="48">
        <f t="shared" ref="E68:E123" si="3">LEN(D68)</f>
        <v>7</v>
      </c>
      <c r="F68" s="49" t="str">
        <f t="shared" ref="F68:F131" si="4">IF(E68=6,"1340"&amp;D68,"134"&amp;D68)</f>
        <v>1342954576</v>
      </c>
      <c r="G68" s="50" t="str">
        <f t="shared" ref="G68:G113" si="5">IF(F68=F67,"二重","　")</f>
        <v>　</v>
      </c>
      <c r="H68" s="72" t="s">
        <v>737</v>
      </c>
      <c r="I68" s="81" t="s">
        <v>60</v>
      </c>
      <c r="J68" s="66" t="s">
        <v>44</v>
      </c>
      <c r="K68" s="13" t="s">
        <v>738</v>
      </c>
      <c r="L68" s="13" t="s">
        <v>739</v>
      </c>
      <c r="M68" s="13" t="s">
        <v>740</v>
      </c>
      <c r="N68" s="73" t="s">
        <v>390</v>
      </c>
      <c r="O68" s="73" t="s">
        <v>741</v>
      </c>
      <c r="P68" s="13" t="s">
        <v>740</v>
      </c>
      <c r="Q68" s="66"/>
      <c r="R68" s="68">
        <v>40309</v>
      </c>
      <c r="S68" s="69">
        <v>40391</v>
      </c>
      <c r="T68" s="69">
        <v>40391</v>
      </c>
      <c r="U68" s="64" t="s">
        <v>742</v>
      </c>
      <c r="V68" s="90">
        <v>44743</v>
      </c>
      <c r="W68" s="89" t="s">
        <v>743</v>
      </c>
      <c r="X68" s="77" t="s">
        <v>17</v>
      </c>
      <c r="Y68" s="63"/>
      <c r="Z68" s="63">
        <v>1</v>
      </c>
      <c r="AA68" s="63">
        <v>42208</v>
      </c>
      <c r="AB68" s="63"/>
      <c r="AC68" s="13" t="s">
        <v>744</v>
      </c>
      <c r="AD68" s="13" t="s">
        <v>745</v>
      </c>
      <c r="AE68" s="62"/>
      <c r="AF68" s="63"/>
      <c r="AG68" s="63"/>
      <c r="AH68" s="63"/>
      <c r="AI68" s="63"/>
      <c r="AJ68" s="71"/>
      <c r="AK68" s="71"/>
    </row>
    <row r="69" spans="1:37" ht="156" x14ac:dyDescent="0.55000000000000004">
      <c r="A69" s="62" t="s">
        <v>746</v>
      </c>
      <c r="B69" s="13"/>
      <c r="C69" s="64"/>
      <c r="D69" s="65">
        <v>2955912</v>
      </c>
      <c r="E69" s="48">
        <f t="shared" si="3"/>
        <v>7</v>
      </c>
      <c r="F69" s="49" t="str">
        <f t="shared" si="4"/>
        <v>1342955912</v>
      </c>
      <c r="G69" s="50" t="str">
        <f t="shared" si="5"/>
        <v>　</v>
      </c>
      <c r="H69" s="72" t="s">
        <v>747</v>
      </c>
      <c r="I69" s="82" t="s">
        <v>748</v>
      </c>
      <c r="J69" s="66" t="s">
        <v>44</v>
      </c>
      <c r="K69" s="13" t="s">
        <v>749</v>
      </c>
      <c r="L69" s="13" t="s">
        <v>750</v>
      </c>
      <c r="M69" s="13" t="s">
        <v>751</v>
      </c>
      <c r="N69" s="73">
        <v>2220033</v>
      </c>
      <c r="O69" s="73" t="s">
        <v>752</v>
      </c>
      <c r="P69" s="13" t="s">
        <v>753</v>
      </c>
      <c r="Q69" s="66" t="s">
        <v>754</v>
      </c>
      <c r="R69" s="68">
        <v>40940</v>
      </c>
      <c r="S69" s="69">
        <v>41000</v>
      </c>
      <c r="T69" s="69">
        <v>41000</v>
      </c>
      <c r="U69" s="64" t="s">
        <v>679</v>
      </c>
      <c r="V69" s="69">
        <v>45383</v>
      </c>
      <c r="W69" s="64" t="s">
        <v>755</v>
      </c>
      <c r="X69" s="70" t="s">
        <v>54</v>
      </c>
      <c r="Y69" s="63">
        <v>1</v>
      </c>
      <c r="Z69" s="63">
        <v>1</v>
      </c>
      <c r="AA69" s="63">
        <v>42404</v>
      </c>
      <c r="AB69" s="63"/>
      <c r="AC69" s="13" t="s">
        <v>756</v>
      </c>
      <c r="AD69" s="13" t="s">
        <v>757</v>
      </c>
      <c r="AE69" s="13" t="s">
        <v>758</v>
      </c>
      <c r="AF69" s="13" t="s">
        <v>759</v>
      </c>
      <c r="AG69" s="63"/>
      <c r="AH69" s="63"/>
      <c r="AI69" s="63"/>
      <c r="AJ69" s="71"/>
      <c r="AK69" s="71"/>
    </row>
    <row r="70" spans="1:37" ht="54" customHeight="1" x14ac:dyDescent="0.55000000000000004">
      <c r="A70" s="62" t="s">
        <v>760</v>
      </c>
      <c r="B70" s="13"/>
      <c r="C70" s="64"/>
      <c r="D70" s="65">
        <v>2954600</v>
      </c>
      <c r="E70" s="48">
        <f t="shared" si="3"/>
        <v>7</v>
      </c>
      <c r="F70" s="49" t="str">
        <f t="shared" si="4"/>
        <v>1342954600</v>
      </c>
      <c r="G70" s="50" t="str">
        <f t="shared" si="5"/>
        <v>　</v>
      </c>
      <c r="H70" s="72" t="s">
        <v>761</v>
      </c>
      <c r="I70" s="82" t="s">
        <v>729</v>
      </c>
      <c r="J70" s="66" t="s">
        <v>44</v>
      </c>
      <c r="K70" s="13" t="s">
        <v>762</v>
      </c>
      <c r="L70" s="13" t="s">
        <v>763</v>
      </c>
      <c r="M70" s="13" t="s">
        <v>764</v>
      </c>
      <c r="N70" s="73" t="s">
        <v>765</v>
      </c>
      <c r="O70" s="73" t="s">
        <v>766</v>
      </c>
      <c r="P70" s="13" t="s">
        <v>767</v>
      </c>
      <c r="Q70" s="66" t="s">
        <v>768</v>
      </c>
      <c r="R70" s="68">
        <v>40912</v>
      </c>
      <c r="S70" s="69">
        <v>41000</v>
      </c>
      <c r="T70" s="69">
        <v>41000</v>
      </c>
      <c r="U70" s="64" t="s">
        <v>679</v>
      </c>
      <c r="V70" s="69">
        <v>45383</v>
      </c>
      <c r="W70" s="64" t="s">
        <v>769</v>
      </c>
      <c r="X70" s="70" t="s">
        <v>54</v>
      </c>
      <c r="Y70" s="63">
        <v>1</v>
      </c>
      <c r="Z70" s="63">
        <v>1</v>
      </c>
      <c r="AA70" s="63">
        <v>42404</v>
      </c>
      <c r="AB70" s="63"/>
      <c r="AC70" s="13" t="s">
        <v>770</v>
      </c>
      <c r="AD70" s="13"/>
      <c r="AE70" s="13"/>
      <c r="AF70" s="63"/>
      <c r="AG70" s="63"/>
      <c r="AH70" s="63"/>
      <c r="AI70" s="63"/>
      <c r="AJ70" s="71"/>
      <c r="AK70" s="71"/>
    </row>
    <row r="71" spans="1:37" ht="54" customHeight="1" x14ac:dyDescent="0.55000000000000004">
      <c r="A71" s="62" t="s">
        <v>771</v>
      </c>
      <c r="B71" s="63"/>
      <c r="C71" s="70"/>
      <c r="D71" s="65">
        <v>2954618</v>
      </c>
      <c r="E71" s="48">
        <f t="shared" si="3"/>
        <v>7</v>
      </c>
      <c r="F71" s="49" t="str">
        <f t="shared" si="4"/>
        <v>1342954618</v>
      </c>
      <c r="G71" s="50" t="str">
        <f t="shared" si="5"/>
        <v>　</v>
      </c>
      <c r="H71" s="72" t="s">
        <v>772</v>
      </c>
      <c r="I71" s="82" t="s">
        <v>773</v>
      </c>
      <c r="J71" s="66" t="s">
        <v>44</v>
      </c>
      <c r="K71" s="13" t="s">
        <v>774</v>
      </c>
      <c r="L71" s="13" t="s">
        <v>775</v>
      </c>
      <c r="M71" s="13" t="s">
        <v>776</v>
      </c>
      <c r="N71" s="73" t="s">
        <v>777</v>
      </c>
      <c r="O71" s="73" t="s">
        <v>778</v>
      </c>
      <c r="P71" s="13" t="s">
        <v>779</v>
      </c>
      <c r="Q71" s="66" t="s">
        <v>780</v>
      </c>
      <c r="R71" s="68">
        <v>41004</v>
      </c>
      <c r="S71" s="69">
        <v>41061</v>
      </c>
      <c r="T71" s="69">
        <v>41061</v>
      </c>
      <c r="U71" s="64" t="s">
        <v>781</v>
      </c>
      <c r="V71" s="69">
        <v>45383</v>
      </c>
      <c r="W71" s="64" t="s">
        <v>782</v>
      </c>
      <c r="X71" s="70" t="s">
        <v>54</v>
      </c>
      <c r="Y71" s="63">
        <v>1</v>
      </c>
      <c r="Z71" s="63">
        <v>1</v>
      </c>
      <c r="AA71" s="63">
        <v>42406</v>
      </c>
      <c r="AB71" s="63"/>
      <c r="AC71" s="62"/>
      <c r="AD71" s="62"/>
      <c r="AE71" s="13"/>
      <c r="AF71" s="63"/>
      <c r="AG71" s="63"/>
      <c r="AH71" s="63"/>
      <c r="AI71" s="63"/>
      <c r="AJ71" s="71"/>
      <c r="AK71" s="71"/>
    </row>
    <row r="72" spans="1:37" ht="108" customHeight="1" x14ac:dyDescent="0.55000000000000004">
      <c r="A72" s="62" t="s">
        <v>783</v>
      </c>
      <c r="B72" s="63"/>
      <c r="C72" s="64"/>
      <c r="D72" s="65">
        <v>2955490</v>
      </c>
      <c r="E72" s="48">
        <f t="shared" si="3"/>
        <v>7</v>
      </c>
      <c r="F72" s="49" t="str">
        <f t="shared" si="4"/>
        <v>1342955490</v>
      </c>
      <c r="G72" s="50" t="str">
        <f t="shared" si="5"/>
        <v>　</v>
      </c>
      <c r="H72" s="72" t="s">
        <v>784</v>
      </c>
      <c r="I72" s="82" t="s">
        <v>240</v>
      </c>
      <c r="J72" s="66" t="s">
        <v>44</v>
      </c>
      <c r="K72" s="13" t="s">
        <v>785</v>
      </c>
      <c r="L72" s="13" t="s">
        <v>786</v>
      </c>
      <c r="M72" s="13" t="s">
        <v>787</v>
      </c>
      <c r="N72" s="73" t="s">
        <v>788</v>
      </c>
      <c r="O72" s="73" t="s">
        <v>789</v>
      </c>
      <c r="P72" s="13" t="s">
        <v>790</v>
      </c>
      <c r="Q72" s="66" t="s">
        <v>791</v>
      </c>
      <c r="R72" s="68">
        <v>41060</v>
      </c>
      <c r="S72" s="69">
        <v>41122</v>
      </c>
      <c r="T72" s="69">
        <v>41122</v>
      </c>
      <c r="U72" s="64" t="s">
        <v>792</v>
      </c>
      <c r="V72" s="69">
        <v>45474</v>
      </c>
      <c r="W72" s="64" t="s">
        <v>793</v>
      </c>
      <c r="X72" s="70" t="s">
        <v>54</v>
      </c>
      <c r="Y72" s="63">
        <v>1</v>
      </c>
      <c r="Z72" s="63">
        <v>1</v>
      </c>
      <c r="AA72" s="63">
        <v>42408</v>
      </c>
      <c r="AB72" s="63"/>
      <c r="AC72" s="13" t="s">
        <v>794</v>
      </c>
      <c r="AD72" s="13"/>
      <c r="AE72" s="13"/>
      <c r="AF72" s="63"/>
      <c r="AG72" s="63"/>
      <c r="AH72" s="63"/>
      <c r="AI72" s="63"/>
      <c r="AJ72" s="71"/>
      <c r="AK72" s="71"/>
    </row>
    <row r="73" spans="1:37" ht="54" customHeight="1" x14ac:dyDescent="0.55000000000000004">
      <c r="A73" s="62" t="s">
        <v>795</v>
      </c>
      <c r="B73" s="13"/>
      <c r="C73" s="64"/>
      <c r="D73" s="65">
        <v>2954667</v>
      </c>
      <c r="E73" s="48">
        <f t="shared" si="3"/>
        <v>7</v>
      </c>
      <c r="F73" s="49" t="str">
        <f t="shared" si="4"/>
        <v>1342954667</v>
      </c>
      <c r="G73" s="50" t="str">
        <f t="shared" si="5"/>
        <v>　</v>
      </c>
      <c r="H73" s="72" t="s">
        <v>796</v>
      </c>
      <c r="I73" s="82" t="s">
        <v>500</v>
      </c>
      <c r="J73" s="66" t="s">
        <v>44</v>
      </c>
      <c r="K73" s="13" t="s">
        <v>797</v>
      </c>
      <c r="L73" s="13" t="s">
        <v>798</v>
      </c>
      <c r="M73" s="13" t="s">
        <v>615</v>
      </c>
      <c r="N73" s="73" t="s">
        <v>616</v>
      </c>
      <c r="O73" s="73" t="s">
        <v>617</v>
      </c>
      <c r="P73" s="13" t="s">
        <v>799</v>
      </c>
      <c r="Q73" s="66" t="s">
        <v>800</v>
      </c>
      <c r="R73" s="68">
        <v>41183</v>
      </c>
      <c r="S73" s="69">
        <v>41244</v>
      </c>
      <c r="T73" s="69">
        <v>41244</v>
      </c>
      <c r="U73" s="64" t="s">
        <v>801</v>
      </c>
      <c r="V73" s="69">
        <v>45566</v>
      </c>
      <c r="W73" s="64" t="s">
        <v>802</v>
      </c>
      <c r="X73" s="70" t="s">
        <v>54</v>
      </c>
      <c r="Y73" s="63">
        <v>1</v>
      </c>
      <c r="Z73" s="63">
        <v>1</v>
      </c>
      <c r="AA73" s="63">
        <v>42412</v>
      </c>
      <c r="AB73" s="63"/>
      <c r="AC73" s="13" t="s">
        <v>627</v>
      </c>
      <c r="AD73" s="13" t="s">
        <v>628</v>
      </c>
      <c r="AE73" s="13" t="s">
        <v>629</v>
      </c>
      <c r="AF73" s="63"/>
      <c r="AG73" s="63"/>
      <c r="AH73" s="63"/>
      <c r="AI73" s="63"/>
      <c r="AJ73" s="71"/>
      <c r="AK73" s="71"/>
    </row>
    <row r="74" spans="1:37" ht="54" customHeight="1" x14ac:dyDescent="0.55000000000000004">
      <c r="A74" s="62" t="s">
        <v>803</v>
      </c>
      <c r="B74" s="63"/>
      <c r="C74" s="64" t="s">
        <v>58</v>
      </c>
      <c r="D74" s="65">
        <v>2954675</v>
      </c>
      <c r="E74" s="48">
        <f t="shared" si="3"/>
        <v>7</v>
      </c>
      <c r="F74" s="49" t="str">
        <f t="shared" si="4"/>
        <v>1342954675</v>
      </c>
      <c r="G74" s="50" t="str">
        <f t="shared" si="5"/>
        <v>　</v>
      </c>
      <c r="H74" s="13" t="s">
        <v>804</v>
      </c>
      <c r="I74" s="13" t="s">
        <v>805</v>
      </c>
      <c r="J74" s="66" t="s">
        <v>347</v>
      </c>
      <c r="K74" s="13" t="s">
        <v>806</v>
      </c>
      <c r="L74" s="13" t="s">
        <v>807</v>
      </c>
      <c r="M74" s="13" t="s">
        <v>808</v>
      </c>
      <c r="N74" s="67"/>
      <c r="O74" s="67" t="s">
        <v>809</v>
      </c>
      <c r="P74" s="13" t="s">
        <v>810</v>
      </c>
      <c r="Q74" s="66" t="s">
        <v>811</v>
      </c>
      <c r="R74" s="68">
        <v>41325</v>
      </c>
      <c r="S74" s="69">
        <v>41426</v>
      </c>
      <c r="T74" s="69">
        <v>41426</v>
      </c>
      <c r="U74" s="70" t="s">
        <v>812</v>
      </c>
      <c r="V74" s="64"/>
      <c r="W74" s="64"/>
      <c r="X74" s="70" t="s">
        <v>54</v>
      </c>
      <c r="Y74" s="63">
        <v>1</v>
      </c>
      <c r="Z74" s="63">
        <v>1</v>
      </c>
      <c r="AA74" s="63">
        <v>42506</v>
      </c>
      <c r="AB74" s="63">
        <v>42610</v>
      </c>
      <c r="AC74" s="13" t="s">
        <v>813</v>
      </c>
      <c r="AD74" s="13"/>
      <c r="AE74" s="13"/>
      <c r="AF74" s="63"/>
      <c r="AG74" s="63"/>
      <c r="AH74" s="63"/>
      <c r="AI74" s="63"/>
      <c r="AJ74" s="71"/>
      <c r="AK74" s="71"/>
    </row>
    <row r="75" spans="1:37" ht="54" customHeight="1" x14ac:dyDescent="0.55000000000000004">
      <c r="A75" s="62" t="s">
        <v>814</v>
      </c>
      <c r="B75" s="63"/>
      <c r="C75" s="64" t="s">
        <v>58</v>
      </c>
      <c r="D75" s="65">
        <v>2955102</v>
      </c>
      <c r="E75" s="48">
        <f t="shared" si="3"/>
        <v>7</v>
      </c>
      <c r="F75" s="49" t="str">
        <f t="shared" si="4"/>
        <v>1342955102</v>
      </c>
      <c r="G75" s="50" t="str">
        <f t="shared" si="5"/>
        <v>　</v>
      </c>
      <c r="H75" s="13" t="s">
        <v>815</v>
      </c>
      <c r="I75" s="13" t="s">
        <v>195</v>
      </c>
      <c r="J75" s="66" t="s">
        <v>347</v>
      </c>
      <c r="K75" s="13" t="s">
        <v>816</v>
      </c>
      <c r="L75" s="13" t="s">
        <v>817</v>
      </c>
      <c r="M75" s="13" t="s">
        <v>818</v>
      </c>
      <c r="N75" s="91" t="s">
        <v>819</v>
      </c>
      <c r="O75" s="67" t="s">
        <v>820</v>
      </c>
      <c r="P75" s="13" t="s">
        <v>821</v>
      </c>
      <c r="Q75" s="66" t="s">
        <v>822</v>
      </c>
      <c r="R75" s="68">
        <v>41366</v>
      </c>
      <c r="S75" s="69">
        <v>41426</v>
      </c>
      <c r="T75" s="69">
        <v>41426</v>
      </c>
      <c r="U75" s="70" t="s">
        <v>812</v>
      </c>
      <c r="V75" s="64"/>
      <c r="W75" s="64"/>
      <c r="X75" s="70" t="s">
        <v>54</v>
      </c>
      <c r="Y75" s="63">
        <v>1</v>
      </c>
      <c r="Z75" s="63">
        <v>1</v>
      </c>
      <c r="AA75" s="63">
        <v>42506</v>
      </c>
      <c r="AB75" s="63">
        <v>43001</v>
      </c>
      <c r="AC75" s="13" t="s">
        <v>823</v>
      </c>
      <c r="AD75" s="13" t="s">
        <v>824</v>
      </c>
      <c r="AE75" s="13" t="s">
        <v>825</v>
      </c>
      <c r="AF75" s="63"/>
      <c r="AG75" s="63"/>
      <c r="AH75" s="63"/>
      <c r="AI75" s="63"/>
      <c r="AJ75" s="71"/>
      <c r="AK75" s="71"/>
    </row>
    <row r="76" spans="1:37" ht="40.5" customHeight="1" x14ac:dyDescent="0.55000000000000004">
      <c r="A76" s="62" t="s">
        <v>826</v>
      </c>
      <c r="B76" s="63"/>
      <c r="C76" s="64"/>
      <c r="D76" s="65">
        <v>2954733</v>
      </c>
      <c r="E76" s="48">
        <f t="shared" si="3"/>
        <v>7</v>
      </c>
      <c r="F76" s="49" t="str">
        <f t="shared" si="4"/>
        <v>1342954733</v>
      </c>
      <c r="G76" s="50" t="str">
        <f t="shared" si="5"/>
        <v>　</v>
      </c>
      <c r="H76" s="72" t="s">
        <v>827</v>
      </c>
      <c r="I76" s="66" t="s">
        <v>500</v>
      </c>
      <c r="J76" s="66" t="s">
        <v>44</v>
      </c>
      <c r="K76" s="66" t="s">
        <v>828</v>
      </c>
      <c r="L76" s="13" t="s">
        <v>829</v>
      </c>
      <c r="M76" s="13" t="s">
        <v>830</v>
      </c>
      <c r="N76" s="73" t="s">
        <v>831</v>
      </c>
      <c r="O76" s="73" t="s">
        <v>832</v>
      </c>
      <c r="P76" s="13" t="s">
        <v>833</v>
      </c>
      <c r="Q76" s="66"/>
      <c r="R76" s="68">
        <v>41446</v>
      </c>
      <c r="S76" s="68">
        <v>41548</v>
      </c>
      <c r="T76" s="69">
        <v>41548</v>
      </c>
      <c r="U76" s="64" t="s">
        <v>457</v>
      </c>
      <c r="V76" s="69">
        <v>45931</v>
      </c>
      <c r="W76" s="64" t="s">
        <v>458</v>
      </c>
      <c r="X76" s="70" t="s">
        <v>459</v>
      </c>
      <c r="Y76" s="63">
        <v>1</v>
      </c>
      <c r="Z76" s="63">
        <v>1</v>
      </c>
      <c r="AA76" s="63">
        <v>42510</v>
      </c>
      <c r="AB76" s="63"/>
      <c r="AC76" s="13"/>
      <c r="AD76" s="13"/>
      <c r="AE76" s="13"/>
      <c r="AF76" s="63"/>
      <c r="AG76" s="63"/>
      <c r="AH76" s="63"/>
      <c r="AI76" s="63"/>
      <c r="AJ76" s="71"/>
      <c r="AK76" s="71"/>
    </row>
    <row r="77" spans="1:37" ht="54" customHeight="1" x14ac:dyDescent="0.55000000000000004">
      <c r="A77" s="62" t="s">
        <v>834</v>
      </c>
      <c r="B77" s="13"/>
      <c r="C77" s="64"/>
      <c r="D77" s="65">
        <v>2955110</v>
      </c>
      <c r="E77" s="48">
        <f t="shared" si="3"/>
        <v>7</v>
      </c>
      <c r="F77" s="49" t="str">
        <f t="shared" si="4"/>
        <v>1342955110</v>
      </c>
      <c r="G77" s="50" t="str">
        <f t="shared" si="5"/>
        <v>　</v>
      </c>
      <c r="H77" s="72" t="s">
        <v>835</v>
      </c>
      <c r="I77" s="13" t="s">
        <v>125</v>
      </c>
      <c r="J77" s="66" t="s">
        <v>44</v>
      </c>
      <c r="K77" s="13" t="s">
        <v>836</v>
      </c>
      <c r="L77" s="13" t="s">
        <v>837</v>
      </c>
      <c r="M77" s="13" t="s">
        <v>838</v>
      </c>
      <c r="N77" s="92" t="s">
        <v>819</v>
      </c>
      <c r="O77" s="73" t="s">
        <v>820</v>
      </c>
      <c r="P77" s="13" t="s">
        <v>839</v>
      </c>
      <c r="Q77" s="66" t="s">
        <v>840</v>
      </c>
      <c r="R77" s="68">
        <v>41453</v>
      </c>
      <c r="S77" s="68">
        <v>41548</v>
      </c>
      <c r="T77" s="69">
        <v>41548</v>
      </c>
      <c r="U77" s="64" t="s">
        <v>457</v>
      </c>
      <c r="V77" s="69">
        <v>45931</v>
      </c>
      <c r="W77" s="64" t="s">
        <v>458</v>
      </c>
      <c r="X77" s="70" t="s">
        <v>459</v>
      </c>
      <c r="Y77" s="63">
        <v>1</v>
      </c>
      <c r="Z77" s="63">
        <v>1</v>
      </c>
      <c r="AA77" s="63">
        <v>42510</v>
      </c>
      <c r="AB77" s="63"/>
      <c r="AC77" s="13" t="s">
        <v>841</v>
      </c>
      <c r="AD77" s="13" t="s">
        <v>842</v>
      </c>
      <c r="AE77" s="13" t="s">
        <v>843</v>
      </c>
      <c r="AF77" s="13" t="s">
        <v>844</v>
      </c>
      <c r="AG77" s="63"/>
      <c r="AH77" s="63"/>
      <c r="AI77" s="63"/>
      <c r="AJ77" s="71"/>
      <c r="AK77" s="71"/>
    </row>
    <row r="78" spans="1:37" ht="54" customHeight="1" x14ac:dyDescent="0.55000000000000004">
      <c r="A78" s="62" t="s">
        <v>845</v>
      </c>
      <c r="B78" s="63"/>
      <c r="C78" s="70"/>
      <c r="D78" s="65">
        <v>2954816</v>
      </c>
      <c r="E78" s="48">
        <f t="shared" si="3"/>
        <v>7</v>
      </c>
      <c r="F78" s="49" t="str">
        <f t="shared" si="4"/>
        <v>1342954816</v>
      </c>
      <c r="G78" s="50" t="str">
        <f t="shared" si="5"/>
        <v>　</v>
      </c>
      <c r="H78" s="72" t="s">
        <v>846</v>
      </c>
      <c r="I78" s="13" t="s">
        <v>847</v>
      </c>
      <c r="J78" s="66" t="s">
        <v>632</v>
      </c>
      <c r="K78" s="13" t="s">
        <v>848</v>
      </c>
      <c r="L78" s="13" t="s">
        <v>849</v>
      </c>
      <c r="M78" s="13" t="s">
        <v>850</v>
      </c>
      <c r="N78" s="73" t="s">
        <v>851</v>
      </c>
      <c r="O78" s="73" t="s">
        <v>852</v>
      </c>
      <c r="P78" s="13" t="s">
        <v>853</v>
      </c>
      <c r="Q78" s="66" t="s">
        <v>854</v>
      </c>
      <c r="R78" s="74">
        <v>39000</v>
      </c>
      <c r="S78" s="69">
        <v>39114</v>
      </c>
      <c r="T78" s="69">
        <v>39114</v>
      </c>
      <c r="U78" s="70" t="s">
        <v>76</v>
      </c>
      <c r="V78" s="69">
        <v>45658</v>
      </c>
      <c r="W78" s="64" t="s">
        <v>855</v>
      </c>
      <c r="X78" s="70" t="s">
        <v>54</v>
      </c>
      <c r="Y78" s="63">
        <v>1</v>
      </c>
      <c r="Z78" s="63">
        <v>1</v>
      </c>
      <c r="AA78" s="63">
        <v>41902</v>
      </c>
      <c r="AB78" s="63"/>
      <c r="AC78" s="13" t="s">
        <v>856</v>
      </c>
      <c r="AD78" s="13"/>
      <c r="AE78" s="13"/>
      <c r="AF78" s="63"/>
      <c r="AG78" s="63"/>
      <c r="AH78" s="63"/>
      <c r="AI78" s="63"/>
      <c r="AJ78" s="71"/>
      <c r="AK78" s="71"/>
    </row>
    <row r="79" spans="1:37" ht="81" customHeight="1" x14ac:dyDescent="0.55000000000000004">
      <c r="A79" s="62" t="s">
        <v>857</v>
      </c>
      <c r="B79" s="13"/>
      <c r="C79" s="64"/>
      <c r="D79" s="78">
        <v>2955474</v>
      </c>
      <c r="E79" s="48">
        <f t="shared" si="3"/>
        <v>7</v>
      </c>
      <c r="F79" s="49" t="str">
        <f t="shared" si="4"/>
        <v>1342955474</v>
      </c>
      <c r="G79" s="50" t="str">
        <f t="shared" si="5"/>
        <v>　</v>
      </c>
      <c r="H79" s="72" t="s">
        <v>858</v>
      </c>
      <c r="I79" s="13" t="s">
        <v>859</v>
      </c>
      <c r="J79" s="66" t="s">
        <v>44</v>
      </c>
      <c r="K79" s="93" t="s">
        <v>860</v>
      </c>
      <c r="L79" s="13" t="s">
        <v>861</v>
      </c>
      <c r="M79" s="13" t="s">
        <v>862</v>
      </c>
      <c r="N79" s="73" t="s">
        <v>863</v>
      </c>
      <c r="O79" s="73" t="s">
        <v>864</v>
      </c>
      <c r="P79" s="13" t="s">
        <v>865</v>
      </c>
      <c r="Q79" s="66" t="s">
        <v>866</v>
      </c>
      <c r="R79" s="68">
        <v>41757</v>
      </c>
      <c r="S79" s="69">
        <v>41852</v>
      </c>
      <c r="T79" s="69">
        <v>41852</v>
      </c>
      <c r="U79" s="64" t="s">
        <v>867</v>
      </c>
      <c r="V79" s="69">
        <v>44044</v>
      </c>
      <c r="W79" s="70" t="s">
        <v>868</v>
      </c>
      <c r="X79" s="64" t="s">
        <v>54</v>
      </c>
      <c r="Y79" s="63">
        <v>1</v>
      </c>
      <c r="Z79" s="63">
        <v>1</v>
      </c>
      <c r="AA79" s="63">
        <v>42608</v>
      </c>
      <c r="AB79" s="63"/>
      <c r="AC79" s="13" t="s">
        <v>869</v>
      </c>
      <c r="AD79" s="62"/>
      <c r="AE79" s="13"/>
      <c r="AF79" s="13"/>
      <c r="AG79" s="13"/>
      <c r="AH79" s="13"/>
      <c r="AI79" s="13"/>
      <c r="AJ79" s="71"/>
      <c r="AK79" s="71"/>
    </row>
    <row r="80" spans="1:37" ht="67.5" customHeight="1" x14ac:dyDescent="0.55000000000000004">
      <c r="A80" s="62" t="s">
        <v>870</v>
      </c>
      <c r="B80" s="13"/>
      <c r="C80" s="64"/>
      <c r="D80" s="78">
        <v>2955649</v>
      </c>
      <c r="E80" s="48">
        <f t="shared" si="3"/>
        <v>7</v>
      </c>
      <c r="F80" s="49" t="str">
        <f t="shared" si="4"/>
        <v>1342955649</v>
      </c>
      <c r="G80" s="50" t="str">
        <f t="shared" si="5"/>
        <v>　</v>
      </c>
      <c r="H80" s="72" t="s">
        <v>871</v>
      </c>
      <c r="I80" s="66" t="s">
        <v>872</v>
      </c>
      <c r="J80" s="66" t="s">
        <v>44</v>
      </c>
      <c r="K80" s="93" t="s">
        <v>873</v>
      </c>
      <c r="L80" s="94" t="s">
        <v>874</v>
      </c>
      <c r="M80" s="13" t="s">
        <v>875</v>
      </c>
      <c r="N80" s="73" t="s">
        <v>876</v>
      </c>
      <c r="O80" s="73" t="s">
        <v>877</v>
      </c>
      <c r="P80" s="13" t="s">
        <v>878</v>
      </c>
      <c r="Q80" s="66" t="s">
        <v>879</v>
      </c>
      <c r="R80" s="68">
        <v>41796</v>
      </c>
      <c r="S80" s="69">
        <v>41852</v>
      </c>
      <c r="T80" s="69">
        <v>41852</v>
      </c>
      <c r="U80" s="64" t="s">
        <v>867</v>
      </c>
      <c r="V80" s="69">
        <v>44044</v>
      </c>
      <c r="W80" s="70" t="s">
        <v>880</v>
      </c>
      <c r="X80" s="64" t="s">
        <v>54</v>
      </c>
      <c r="Y80" s="63">
        <v>1</v>
      </c>
      <c r="Z80" s="63">
        <v>1</v>
      </c>
      <c r="AA80" s="63">
        <v>42608</v>
      </c>
      <c r="AB80" s="63"/>
      <c r="AC80" s="13" t="s">
        <v>881</v>
      </c>
      <c r="AD80" s="66" t="s">
        <v>882</v>
      </c>
      <c r="AE80" s="13"/>
      <c r="AF80" s="13"/>
      <c r="AG80" s="13"/>
      <c r="AH80" s="13"/>
      <c r="AI80" s="13"/>
      <c r="AJ80" s="71"/>
      <c r="AK80" s="71"/>
    </row>
    <row r="81" spans="1:37" ht="40.5" customHeight="1" x14ac:dyDescent="0.55000000000000004">
      <c r="A81" s="62" t="s">
        <v>883</v>
      </c>
      <c r="B81" s="13"/>
      <c r="C81" s="64"/>
      <c r="D81" s="78">
        <v>2955094</v>
      </c>
      <c r="E81" s="48">
        <f t="shared" si="3"/>
        <v>7</v>
      </c>
      <c r="F81" s="49" t="str">
        <f t="shared" si="4"/>
        <v>1342955094</v>
      </c>
      <c r="G81" s="50" t="str">
        <f t="shared" si="5"/>
        <v>　</v>
      </c>
      <c r="H81" s="72" t="s">
        <v>884</v>
      </c>
      <c r="I81" s="66" t="s">
        <v>872</v>
      </c>
      <c r="J81" s="66" t="s">
        <v>44</v>
      </c>
      <c r="K81" s="93" t="s">
        <v>885</v>
      </c>
      <c r="L81" s="94" t="s">
        <v>886</v>
      </c>
      <c r="M81" s="13" t="s">
        <v>818</v>
      </c>
      <c r="N81" s="73" t="s">
        <v>819</v>
      </c>
      <c r="O81" s="73" t="s">
        <v>820</v>
      </c>
      <c r="P81" s="13" t="s">
        <v>887</v>
      </c>
      <c r="Q81" s="66" t="s">
        <v>888</v>
      </c>
      <c r="R81" s="68">
        <v>41795</v>
      </c>
      <c r="S81" s="69">
        <v>41852</v>
      </c>
      <c r="T81" s="69">
        <v>41852</v>
      </c>
      <c r="U81" s="64" t="s">
        <v>867</v>
      </c>
      <c r="V81" s="69">
        <v>44044</v>
      </c>
      <c r="W81" s="70" t="s">
        <v>889</v>
      </c>
      <c r="X81" s="64" t="s">
        <v>54</v>
      </c>
      <c r="Y81" s="63">
        <v>1</v>
      </c>
      <c r="Z81" s="63">
        <v>1</v>
      </c>
      <c r="AA81" s="63">
        <v>42608</v>
      </c>
      <c r="AB81" s="63"/>
      <c r="AC81" s="13" t="s">
        <v>890</v>
      </c>
      <c r="AD81" s="13" t="s">
        <v>843</v>
      </c>
      <c r="AE81" s="13" t="s">
        <v>844</v>
      </c>
      <c r="AF81" s="13"/>
      <c r="AG81" s="13"/>
      <c r="AH81" s="13"/>
      <c r="AI81" s="13"/>
      <c r="AJ81" s="71"/>
      <c r="AK81" s="71"/>
    </row>
    <row r="82" spans="1:37" ht="54" customHeight="1" x14ac:dyDescent="0.55000000000000004">
      <c r="A82" s="62" t="s">
        <v>891</v>
      </c>
      <c r="B82" s="13"/>
      <c r="C82" s="64"/>
      <c r="D82" s="78">
        <v>2954915</v>
      </c>
      <c r="E82" s="48">
        <f t="shared" si="3"/>
        <v>7</v>
      </c>
      <c r="F82" s="49" t="str">
        <f t="shared" si="4"/>
        <v>1342954915</v>
      </c>
      <c r="G82" s="50" t="str">
        <f t="shared" si="5"/>
        <v>　</v>
      </c>
      <c r="H82" s="72" t="s">
        <v>892</v>
      </c>
      <c r="I82" s="13" t="s">
        <v>893</v>
      </c>
      <c r="J82" s="66" t="s">
        <v>44</v>
      </c>
      <c r="K82" s="93" t="s">
        <v>894</v>
      </c>
      <c r="L82" s="13" t="s">
        <v>895</v>
      </c>
      <c r="M82" s="13" t="s">
        <v>896</v>
      </c>
      <c r="N82" s="73" t="s">
        <v>897</v>
      </c>
      <c r="O82" s="73" t="s">
        <v>898</v>
      </c>
      <c r="P82" s="13" t="s">
        <v>899</v>
      </c>
      <c r="Q82" s="66" t="s">
        <v>900</v>
      </c>
      <c r="R82" s="68">
        <v>41794</v>
      </c>
      <c r="S82" s="69">
        <v>41852</v>
      </c>
      <c r="T82" s="69">
        <v>41852</v>
      </c>
      <c r="U82" s="64" t="s">
        <v>867</v>
      </c>
      <c r="V82" s="69">
        <v>44044</v>
      </c>
      <c r="W82" s="70" t="s">
        <v>901</v>
      </c>
      <c r="X82" s="64" t="s">
        <v>54</v>
      </c>
      <c r="Y82" s="63">
        <v>1</v>
      </c>
      <c r="Z82" s="63">
        <v>1</v>
      </c>
      <c r="AA82" s="63">
        <v>42608</v>
      </c>
      <c r="AB82" s="63"/>
      <c r="AC82" s="13" t="s">
        <v>902</v>
      </c>
      <c r="AD82" s="62"/>
      <c r="AE82" s="13"/>
      <c r="AF82" s="13"/>
      <c r="AG82" s="13"/>
      <c r="AH82" s="13"/>
      <c r="AI82" s="13"/>
      <c r="AJ82" s="71"/>
      <c r="AK82" s="71"/>
    </row>
    <row r="83" spans="1:37" ht="67.5" customHeight="1" x14ac:dyDescent="0.55000000000000004">
      <c r="A83" s="62" t="s">
        <v>903</v>
      </c>
      <c r="B83" s="13"/>
      <c r="C83" s="64"/>
      <c r="D83" s="65">
        <v>2954964</v>
      </c>
      <c r="E83" s="48">
        <f t="shared" si="3"/>
        <v>7</v>
      </c>
      <c r="F83" s="49" t="str">
        <f t="shared" si="4"/>
        <v>1342954964</v>
      </c>
      <c r="G83" s="50" t="str">
        <f t="shared" si="5"/>
        <v>　</v>
      </c>
      <c r="H83" s="72" t="s">
        <v>904</v>
      </c>
      <c r="I83" s="82" t="s">
        <v>283</v>
      </c>
      <c r="J83" s="66" t="s">
        <v>44</v>
      </c>
      <c r="K83" s="13" t="s">
        <v>905</v>
      </c>
      <c r="L83" s="13" t="s">
        <v>906</v>
      </c>
      <c r="M83" s="13" t="s">
        <v>907</v>
      </c>
      <c r="N83" s="73" t="s">
        <v>523</v>
      </c>
      <c r="O83" s="73" t="s">
        <v>524</v>
      </c>
      <c r="P83" s="13" t="s">
        <v>908</v>
      </c>
      <c r="Q83" s="66" t="s">
        <v>909</v>
      </c>
      <c r="R83" s="68">
        <v>39904</v>
      </c>
      <c r="S83" s="69">
        <v>39965</v>
      </c>
      <c r="T83" s="69">
        <v>39965</v>
      </c>
      <c r="U83" s="64" t="s">
        <v>910</v>
      </c>
      <c r="V83" s="69">
        <v>44348</v>
      </c>
      <c r="W83" s="64" t="s">
        <v>911</v>
      </c>
      <c r="X83" s="77" t="s">
        <v>54</v>
      </c>
      <c r="Y83" s="63">
        <v>1</v>
      </c>
      <c r="Z83" s="63">
        <v>1</v>
      </c>
      <c r="AA83" s="63">
        <v>42106</v>
      </c>
      <c r="AB83" s="63"/>
      <c r="AC83" s="13" t="s">
        <v>912</v>
      </c>
      <c r="AD83" s="13" t="s">
        <v>529</v>
      </c>
      <c r="AE83" s="62"/>
      <c r="AF83" s="63"/>
      <c r="AG83" s="63"/>
      <c r="AH83" s="63"/>
      <c r="AI83" s="63"/>
      <c r="AJ83" s="71"/>
      <c r="AK83" s="71"/>
    </row>
    <row r="84" spans="1:37" ht="54" customHeight="1" x14ac:dyDescent="0.55000000000000004">
      <c r="A84" s="62" t="s">
        <v>913</v>
      </c>
      <c r="B84" s="64"/>
      <c r="C84" s="64"/>
      <c r="D84" s="65">
        <v>2952349</v>
      </c>
      <c r="E84" s="48">
        <f t="shared" si="3"/>
        <v>7</v>
      </c>
      <c r="F84" s="49" t="str">
        <f t="shared" si="4"/>
        <v>1342952349</v>
      </c>
      <c r="G84" s="50" t="str">
        <f t="shared" si="5"/>
        <v>　</v>
      </c>
      <c r="H84" s="72" t="s">
        <v>914</v>
      </c>
      <c r="I84" s="82" t="s">
        <v>915</v>
      </c>
      <c r="J84" s="66" t="s">
        <v>44</v>
      </c>
      <c r="K84" s="13" t="s">
        <v>916</v>
      </c>
      <c r="L84" s="13" t="s">
        <v>917</v>
      </c>
      <c r="M84" s="13" t="s">
        <v>907</v>
      </c>
      <c r="N84" s="73" t="s">
        <v>918</v>
      </c>
      <c r="O84" s="73" t="s">
        <v>524</v>
      </c>
      <c r="P84" s="13" t="s">
        <v>919</v>
      </c>
      <c r="Q84" s="66" t="s">
        <v>920</v>
      </c>
      <c r="R84" s="68">
        <v>42501</v>
      </c>
      <c r="S84" s="69">
        <v>42552</v>
      </c>
      <c r="T84" s="69">
        <v>42552</v>
      </c>
      <c r="U84" s="64" t="s">
        <v>921</v>
      </c>
      <c r="V84" s="90">
        <v>44743</v>
      </c>
      <c r="W84" s="89" t="s">
        <v>922</v>
      </c>
      <c r="X84" s="77" t="s">
        <v>54</v>
      </c>
      <c r="Y84" s="63">
        <v>1</v>
      </c>
      <c r="Z84" s="63">
        <v>1</v>
      </c>
      <c r="AA84" s="63">
        <v>42807</v>
      </c>
      <c r="AB84" s="63"/>
      <c r="AC84" s="13"/>
      <c r="AD84" s="13"/>
      <c r="AE84" s="62"/>
      <c r="AF84" s="63"/>
      <c r="AG84" s="63"/>
      <c r="AH84" s="63"/>
      <c r="AI84" s="63"/>
      <c r="AJ84" s="71"/>
      <c r="AK84" s="71"/>
    </row>
    <row r="85" spans="1:37" ht="54" customHeight="1" x14ac:dyDescent="0.55000000000000004">
      <c r="A85" s="62" t="s">
        <v>923</v>
      </c>
      <c r="B85" s="13"/>
      <c r="C85" s="64"/>
      <c r="D85" s="65">
        <v>2955151</v>
      </c>
      <c r="E85" s="48">
        <f t="shared" si="3"/>
        <v>7</v>
      </c>
      <c r="F85" s="49" t="str">
        <f t="shared" si="4"/>
        <v>1342955151</v>
      </c>
      <c r="G85" s="50" t="str">
        <f t="shared" si="5"/>
        <v>　</v>
      </c>
      <c r="H85" s="72" t="s">
        <v>924</v>
      </c>
      <c r="I85" s="82" t="s">
        <v>654</v>
      </c>
      <c r="J85" s="66" t="s">
        <v>44</v>
      </c>
      <c r="K85" s="13" t="s">
        <v>925</v>
      </c>
      <c r="L85" s="13" t="s">
        <v>926</v>
      </c>
      <c r="M85" s="13" t="s">
        <v>927</v>
      </c>
      <c r="N85" s="73" t="s">
        <v>928</v>
      </c>
      <c r="O85" s="73" t="s">
        <v>929</v>
      </c>
      <c r="P85" s="13" t="s">
        <v>930</v>
      </c>
      <c r="Q85" s="13" t="s">
        <v>931</v>
      </c>
      <c r="R85" s="68">
        <v>42580</v>
      </c>
      <c r="S85" s="69">
        <v>42644</v>
      </c>
      <c r="T85" s="69">
        <v>42644</v>
      </c>
      <c r="U85" s="64" t="s">
        <v>932</v>
      </c>
      <c r="V85" s="68">
        <v>44835</v>
      </c>
      <c r="W85" s="89" t="s">
        <v>933</v>
      </c>
      <c r="X85" s="77" t="s">
        <v>54</v>
      </c>
      <c r="Y85" s="63">
        <v>1</v>
      </c>
      <c r="Z85" s="63">
        <v>1</v>
      </c>
      <c r="AA85" s="63">
        <v>42810</v>
      </c>
      <c r="AB85" s="63"/>
      <c r="AC85" s="13" t="s">
        <v>934</v>
      </c>
      <c r="AD85" s="13"/>
      <c r="AE85" s="62"/>
      <c r="AF85" s="63"/>
      <c r="AG85" s="63"/>
      <c r="AH85" s="63"/>
      <c r="AI85" s="63"/>
      <c r="AJ85" s="71"/>
      <c r="AK85" s="71"/>
    </row>
    <row r="86" spans="1:37" ht="45" customHeight="1" x14ac:dyDescent="0.55000000000000004">
      <c r="A86" s="62" t="s">
        <v>935</v>
      </c>
      <c r="B86" s="13"/>
      <c r="C86" s="64"/>
      <c r="D86" s="65">
        <v>2955219</v>
      </c>
      <c r="E86" s="48">
        <f t="shared" si="3"/>
        <v>7</v>
      </c>
      <c r="F86" s="49" t="str">
        <f t="shared" si="4"/>
        <v>1342955219</v>
      </c>
      <c r="G86" s="50" t="str">
        <f t="shared" si="5"/>
        <v>　</v>
      </c>
      <c r="H86" s="72" t="s">
        <v>936</v>
      </c>
      <c r="I86" s="82" t="s">
        <v>937</v>
      </c>
      <c r="J86" s="66" t="s">
        <v>44</v>
      </c>
      <c r="K86" s="13" t="s">
        <v>938</v>
      </c>
      <c r="L86" s="13" t="s">
        <v>939</v>
      </c>
      <c r="M86" s="13" t="s">
        <v>940</v>
      </c>
      <c r="N86" s="73" t="s">
        <v>941</v>
      </c>
      <c r="O86" s="73" t="s">
        <v>548</v>
      </c>
      <c r="P86" s="13" t="s">
        <v>942</v>
      </c>
      <c r="Q86" s="66"/>
      <c r="R86" s="68">
        <v>42769</v>
      </c>
      <c r="S86" s="69">
        <v>42826</v>
      </c>
      <c r="T86" s="69">
        <v>42826</v>
      </c>
      <c r="U86" s="64" t="s">
        <v>943</v>
      </c>
      <c r="V86" s="69">
        <v>45017</v>
      </c>
      <c r="W86" s="64" t="s">
        <v>944</v>
      </c>
      <c r="X86" s="77" t="s">
        <v>54</v>
      </c>
      <c r="Y86" s="63">
        <v>1</v>
      </c>
      <c r="Z86" s="63">
        <v>1</v>
      </c>
      <c r="AA86" s="63">
        <v>42904</v>
      </c>
      <c r="AB86" s="63"/>
      <c r="AC86" s="13" t="s">
        <v>551</v>
      </c>
      <c r="AD86" s="13"/>
      <c r="AE86" s="62"/>
      <c r="AF86" s="63"/>
      <c r="AG86" s="63"/>
      <c r="AH86" s="63"/>
      <c r="AI86" s="63"/>
      <c r="AJ86" s="71"/>
      <c r="AK86" s="71"/>
    </row>
    <row r="87" spans="1:37" ht="40.5" customHeight="1" x14ac:dyDescent="0.55000000000000004">
      <c r="A87" s="62" t="s">
        <v>945</v>
      </c>
      <c r="B87" s="13"/>
      <c r="C87" s="64"/>
      <c r="D87" s="78">
        <v>2954931</v>
      </c>
      <c r="E87" s="48">
        <f t="shared" si="3"/>
        <v>7</v>
      </c>
      <c r="F87" s="49" t="str">
        <f t="shared" si="4"/>
        <v>1342954931</v>
      </c>
      <c r="G87" s="50" t="str">
        <f t="shared" si="5"/>
        <v>　</v>
      </c>
      <c r="H87" s="72" t="s">
        <v>946</v>
      </c>
      <c r="I87" s="66" t="s">
        <v>947</v>
      </c>
      <c r="J87" s="66" t="s">
        <v>44</v>
      </c>
      <c r="K87" s="93" t="s">
        <v>948</v>
      </c>
      <c r="L87" s="94" t="s">
        <v>949</v>
      </c>
      <c r="M87" s="13" t="s">
        <v>950</v>
      </c>
      <c r="N87" s="73" t="s">
        <v>951</v>
      </c>
      <c r="O87" s="73" t="s">
        <v>952</v>
      </c>
      <c r="P87" s="13" t="s">
        <v>953</v>
      </c>
      <c r="Q87" s="66" t="s">
        <v>954</v>
      </c>
      <c r="R87" s="69">
        <v>43147</v>
      </c>
      <c r="S87" s="68">
        <v>43191</v>
      </c>
      <c r="T87" s="69">
        <v>43191</v>
      </c>
      <c r="U87" s="64" t="s">
        <v>955</v>
      </c>
      <c r="V87" s="69">
        <v>45383</v>
      </c>
      <c r="W87" s="70" t="s">
        <v>956</v>
      </c>
      <c r="X87" s="77" t="s">
        <v>54</v>
      </c>
      <c r="Y87" s="63">
        <v>1</v>
      </c>
      <c r="Z87" s="63">
        <v>1</v>
      </c>
      <c r="AA87" s="63">
        <v>43004</v>
      </c>
      <c r="AB87" s="63"/>
      <c r="AC87" s="66" t="s">
        <v>957</v>
      </c>
      <c r="AD87" s="62"/>
      <c r="AE87" s="13"/>
      <c r="AF87" s="13"/>
      <c r="AG87" s="13"/>
      <c r="AH87" s="13"/>
      <c r="AI87" s="13"/>
      <c r="AJ87" s="71"/>
      <c r="AK87" s="71"/>
    </row>
    <row r="88" spans="1:37" ht="54" customHeight="1" x14ac:dyDescent="0.55000000000000004">
      <c r="A88" s="62" t="s">
        <v>958</v>
      </c>
      <c r="B88" s="13"/>
      <c r="C88" s="64"/>
      <c r="D88" s="78">
        <v>2955631</v>
      </c>
      <c r="E88" s="48">
        <f t="shared" si="3"/>
        <v>7</v>
      </c>
      <c r="F88" s="49" t="str">
        <f t="shared" si="4"/>
        <v>1342955631</v>
      </c>
      <c r="G88" s="50" t="str">
        <f t="shared" si="5"/>
        <v>　</v>
      </c>
      <c r="H88" s="72" t="s">
        <v>959</v>
      </c>
      <c r="I88" s="66" t="s">
        <v>144</v>
      </c>
      <c r="J88" s="66" t="s">
        <v>44</v>
      </c>
      <c r="K88" s="93" t="s">
        <v>960</v>
      </c>
      <c r="L88" s="94" t="s">
        <v>961</v>
      </c>
      <c r="M88" s="13" t="s">
        <v>962</v>
      </c>
      <c r="N88" s="73" t="s">
        <v>963</v>
      </c>
      <c r="O88" s="73" t="s">
        <v>964</v>
      </c>
      <c r="P88" s="13" t="s">
        <v>965</v>
      </c>
      <c r="Q88" s="66" t="s">
        <v>966</v>
      </c>
      <c r="R88" s="68">
        <v>43117</v>
      </c>
      <c r="S88" s="68">
        <v>43191</v>
      </c>
      <c r="T88" s="69">
        <v>43191</v>
      </c>
      <c r="U88" s="64" t="s">
        <v>967</v>
      </c>
      <c r="V88" s="69">
        <v>45383</v>
      </c>
      <c r="W88" s="70" t="s">
        <v>968</v>
      </c>
      <c r="X88" s="77" t="s">
        <v>54</v>
      </c>
      <c r="Y88" s="63">
        <v>1</v>
      </c>
      <c r="Z88" s="63">
        <v>1</v>
      </c>
      <c r="AA88" s="63">
        <v>43004</v>
      </c>
      <c r="AB88" s="63"/>
      <c r="AC88" s="13" t="s">
        <v>969</v>
      </c>
      <c r="AD88" s="13"/>
      <c r="AE88" s="13"/>
      <c r="AF88" s="13"/>
      <c r="AG88" s="13"/>
      <c r="AH88" s="13"/>
      <c r="AI88" s="13"/>
      <c r="AJ88" s="71"/>
      <c r="AK88" s="71"/>
    </row>
    <row r="89" spans="1:37" ht="39" x14ac:dyDescent="0.55000000000000004">
      <c r="A89" s="62" t="s">
        <v>970</v>
      </c>
      <c r="B89" s="13"/>
      <c r="C89" s="64"/>
      <c r="D89" s="65">
        <v>2955375</v>
      </c>
      <c r="E89" s="48">
        <f t="shared" si="3"/>
        <v>7</v>
      </c>
      <c r="F89" s="49" t="str">
        <f t="shared" si="4"/>
        <v>1342955375</v>
      </c>
      <c r="G89" s="50" t="str">
        <f t="shared" si="5"/>
        <v>　</v>
      </c>
      <c r="H89" s="72" t="s">
        <v>971</v>
      </c>
      <c r="I89" s="82" t="s">
        <v>972</v>
      </c>
      <c r="J89" s="66" t="s">
        <v>44</v>
      </c>
      <c r="K89" s="13" t="s">
        <v>973</v>
      </c>
      <c r="L89" s="13" t="s">
        <v>974</v>
      </c>
      <c r="M89" s="13" t="s">
        <v>975</v>
      </c>
      <c r="N89" s="73" t="s">
        <v>976</v>
      </c>
      <c r="O89" s="73" t="s">
        <v>977</v>
      </c>
      <c r="P89" s="13" t="s">
        <v>978</v>
      </c>
      <c r="Q89" s="66" t="s">
        <v>979</v>
      </c>
      <c r="R89" s="68">
        <v>43363</v>
      </c>
      <c r="S89" s="68">
        <v>43466</v>
      </c>
      <c r="T89" s="69">
        <v>43466</v>
      </c>
      <c r="U89" s="64" t="s">
        <v>980</v>
      </c>
      <c r="V89" s="69">
        <v>45658</v>
      </c>
      <c r="W89" s="64" t="s">
        <v>981</v>
      </c>
      <c r="X89" s="77" t="s">
        <v>54</v>
      </c>
      <c r="Y89" s="63">
        <v>1</v>
      </c>
      <c r="Z89" s="63">
        <v>1</v>
      </c>
      <c r="AA89" s="63">
        <v>43101</v>
      </c>
      <c r="AB89" s="63"/>
      <c r="AC89" s="13"/>
      <c r="AD89" s="13"/>
      <c r="AE89" s="62"/>
      <c r="AF89" s="63"/>
      <c r="AG89" s="63"/>
      <c r="AH89" s="63"/>
      <c r="AI89" s="63"/>
      <c r="AJ89" s="71"/>
      <c r="AK89" s="71"/>
    </row>
    <row r="90" spans="1:37" ht="39" x14ac:dyDescent="0.55000000000000004">
      <c r="A90" s="62" t="s">
        <v>982</v>
      </c>
      <c r="B90" s="13"/>
      <c r="C90" s="64"/>
      <c r="D90" s="78">
        <v>2953099</v>
      </c>
      <c r="E90" s="48">
        <f t="shared" si="3"/>
        <v>7</v>
      </c>
      <c r="F90" s="49" t="str">
        <f t="shared" si="4"/>
        <v>1342953099</v>
      </c>
      <c r="G90" s="50" t="str">
        <f t="shared" si="5"/>
        <v>　</v>
      </c>
      <c r="H90" s="72" t="s">
        <v>983</v>
      </c>
      <c r="I90" s="66" t="s">
        <v>984</v>
      </c>
      <c r="J90" s="66" t="s">
        <v>44</v>
      </c>
      <c r="K90" s="93" t="s">
        <v>985</v>
      </c>
      <c r="L90" s="94" t="s">
        <v>986</v>
      </c>
      <c r="M90" s="13" t="s">
        <v>987</v>
      </c>
      <c r="N90" s="73" t="s">
        <v>984</v>
      </c>
      <c r="O90" s="73" t="s">
        <v>988</v>
      </c>
      <c r="P90" s="13" t="s">
        <v>989</v>
      </c>
      <c r="Q90" s="77" t="s">
        <v>990</v>
      </c>
      <c r="R90" s="68">
        <v>43388</v>
      </c>
      <c r="S90" s="68">
        <v>43466</v>
      </c>
      <c r="T90" s="69">
        <v>43466</v>
      </c>
      <c r="U90" s="64" t="s">
        <v>991</v>
      </c>
      <c r="V90" s="69">
        <v>45658</v>
      </c>
      <c r="W90" s="64" t="s">
        <v>992</v>
      </c>
      <c r="X90" s="77" t="s">
        <v>54</v>
      </c>
      <c r="Y90" s="63">
        <v>1</v>
      </c>
      <c r="Z90" s="63">
        <v>1</v>
      </c>
      <c r="AA90" s="63">
        <v>43101</v>
      </c>
      <c r="AB90" s="63"/>
      <c r="AC90" s="62"/>
      <c r="AD90" s="62"/>
      <c r="AE90" s="13"/>
      <c r="AF90" s="13"/>
      <c r="AG90" s="13"/>
      <c r="AH90" s="13"/>
      <c r="AI90" s="13"/>
      <c r="AJ90" s="71"/>
      <c r="AK90" s="71"/>
    </row>
    <row r="91" spans="1:37" ht="73.5" customHeight="1" x14ac:dyDescent="0.55000000000000004">
      <c r="A91" s="62" t="s">
        <v>993</v>
      </c>
      <c r="B91" s="63"/>
      <c r="C91" s="64"/>
      <c r="D91" s="78">
        <v>2955888</v>
      </c>
      <c r="E91" s="48">
        <f t="shared" si="3"/>
        <v>7</v>
      </c>
      <c r="F91" s="49" t="str">
        <f t="shared" si="4"/>
        <v>1342955888</v>
      </c>
      <c r="G91" s="50" t="str">
        <f t="shared" si="5"/>
        <v>　</v>
      </c>
      <c r="H91" s="72" t="s">
        <v>994</v>
      </c>
      <c r="I91" s="66" t="s">
        <v>995</v>
      </c>
      <c r="J91" s="66" t="s">
        <v>44</v>
      </c>
      <c r="K91" s="93" t="s">
        <v>996</v>
      </c>
      <c r="L91" s="94" t="s">
        <v>997</v>
      </c>
      <c r="M91" s="13" t="s">
        <v>998</v>
      </c>
      <c r="N91" s="73" t="s">
        <v>999</v>
      </c>
      <c r="O91" s="73" t="s">
        <v>1000</v>
      </c>
      <c r="P91" s="13" t="s">
        <v>1001</v>
      </c>
      <c r="Q91" s="66"/>
      <c r="R91" s="68">
        <v>43374</v>
      </c>
      <c r="S91" s="68">
        <v>43466</v>
      </c>
      <c r="T91" s="69">
        <v>43466</v>
      </c>
      <c r="U91" s="64" t="s">
        <v>1002</v>
      </c>
      <c r="V91" s="69">
        <v>45658</v>
      </c>
      <c r="W91" s="64" t="s">
        <v>1003</v>
      </c>
      <c r="X91" s="77" t="s">
        <v>54</v>
      </c>
      <c r="Y91" s="63">
        <v>1</v>
      </c>
      <c r="Z91" s="63">
        <v>1</v>
      </c>
      <c r="AA91" s="63">
        <v>43101</v>
      </c>
      <c r="AB91" s="63"/>
      <c r="AC91" s="13" t="s">
        <v>1004</v>
      </c>
      <c r="AD91" s="66" t="s">
        <v>1005</v>
      </c>
      <c r="AE91" s="13"/>
      <c r="AF91" s="13"/>
      <c r="AG91" s="13"/>
      <c r="AH91" s="13"/>
      <c r="AI91" s="13"/>
      <c r="AJ91" s="71"/>
      <c r="AK91" s="71"/>
    </row>
    <row r="92" spans="1:37" ht="54" customHeight="1" x14ac:dyDescent="0.55000000000000004">
      <c r="A92" s="62" t="s">
        <v>1006</v>
      </c>
      <c r="B92" s="13"/>
      <c r="C92" s="64"/>
      <c r="D92" s="78">
        <v>2955524</v>
      </c>
      <c r="E92" s="48">
        <f t="shared" si="3"/>
        <v>7</v>
      </c>
      <c r="F92" s="49" t="str">
        <f t="shared" si="4"/>
        <v>1342955524</v>
      </c>
      <c r="G92" s="50" t="str">
        <f t="shared" si="5"/>
        <v>　</v>
      </c>
      <c r="H92" s="72" t="s">
        <v>1007</v>
      </c>
      <c r="I92" s="66" t="s">
        <v>1008</v>
      </c>
      <c r="J92" s="66" t="s">
        <v>44</v>
      </c>
      <c r="K92" s="93" t="s">
        <v>1009</v>
      </c>
      <c r="L92" s="94" t="s">
        <v>1010</v>
      </c>
      <c r="M92" s="13" t="s">
        <v>1011</v>
      </c>
      <c r="N92" s="73" t="s">
        <v>1012</v>
      </c>
      <c r="O92" s="73" t="s">
        <v>1013</v>
      </c>
      <c r="P92" s="13" t="s">
        <v>1014</v>
      </c>
      <c r="Q92" s="66" t="s">
        <v>1015</v>
      </c>
      <c r="R92" s="68">
        <v>43444</v>
      </c>
      <c r="S92" s="68">
        <v>43556</v>
      </c>
      <c r="T92" s="69">
        <v>43556</v>
      </c>
      <c r="U92" s="64" t="s">
        <v>1016</v>
      </c>
      <c r="V92" s="95">
        <v>45748</v>
      </c>
      <c r="W92" s="70" t="s">
        <v>1017</v>
      </c>
      <c r="X92" s="77" t="s">
        <v>54</v>
      </c>
      <c r="Y92" s="63">
        <v>1</v>
      </c>
      <c r="Z92" s="63">
        <v>1</v>
      </c>
      <c r="AA92" s="63">
        <v>43104</v>
      </c>
      <c r="AB92" s="63"/>
      <c r="AC92" s="13" t="s">
        <v>1018</v>
      </c>
      <c r="AD92" s="62"/>
      <c r="AE92" s="13"/>
      <c r="AF92" s="13"/>
      <c r="AG92" s="13"/>
      <c r="AH92" s="13"/>
      <c r="AI92" s="13"/>
      <c r="AJ92" s="71"/>
      <c r="AK92" s="71"/>
    </row>
    <row r="93" spans="1:37" ht="54" customHeight="1" x14ac:dyDescent="0.55000000000000004">
      <c r="A93" s="62" t="s">
        <v>1019</v>
      </c>
      <c r="B93" s="13"/>
      <c r="C93" s="64"/>
      <c r="D93" s="78">
        <v>2955458</v>
      </c>
      <c r="E93" s="48">
        <f t="shared" si="3"/>
        <v>7</v>
      </c>
      <c r="F93" s="49" t="str">
        <f t="shared" si="4"/>
        <v>1342955458</v>
      </c>
      <c r="G93" s="50" t="str">
        <f t="shared" si="5"/>
        <v>　</v>
      </c>
      <c r="H93" s="72" t="s">
        <v>1020</v>
      </c>
      <c r="I93" s="66" t="s">
        <v>1021</v>
      </c>
      <c r="J93" s="66" t="s">
        <v>44</v>
      </c>
      <c r="K93" s="93" t="s">
        <v>1022</v>
      </c>
      <c r="L93" s="94" t="s">
        <v>1023</v>
      </c>
      <c r="M93" s="13" t="s">
        <v>1024</v>
      </c>
      <c r="N93" s="73" t="s">
        <v>941</v>
      </c>
      <c r="O93" s="73" t="s">
        <v>548</v>
      </c>
      <c r="P93" s="13" t="s">
        <v>1025</v>
      </c>
      <c r="Q93" s="66" t="s">
        <v>1026</v>
      </c>
      <c r="R93" s="68">
        <v>43572</v>
      </c>
      <c r="S93" s="68" t="s">
        <v>1027</v>
      </c>
      <c r="T93" s="64" t="s">
        <v>1027</v>
      </c>
      <c r="U93" s="64" t="s">
        <v>1028</v>
      </c>
      <c r="V93" s="95">
        <v>45839</v>
      </c>
      <c r="W93" s="70" t="s">
        <v>354</v>
      </c>
      <c r="X93" s="77" t="s">
        <v>54</v>
      </c>
      <c r="Y93" s="63">
        <v>1</v>
      </c>
      <c r="Z93" s="63">
        <v>1</v>
      </c>
      <c r="AA93" s="63">
        <v>50107</v>
      </c>
      <c r="AB93" s="63"/>
      <c r="AC93" s="13" t="s">
        <v>551</v>
      </c>
      <c r="AD93" s="62"/>
      <c r="AE93" s="13"/>
      <c r="AF93" s="13"/>
      <c r="AG93" s="13"/>
      <c r="AH93" s="13"/>
      <c r="AI93" s="13"/>
      <c r="AJ93" s="71"/>
      <c r="AK93" s="71"/>
    </row>
    <row r="94" spans="1:37" ht="54" customHeight="1" x14ac:dyDescent="0.55000000000000004">
      <c r="A94" s="62" t="s">
        <v>1029</v>
      </c>
      <c r="B94" s="13"/>
      <c r="C94" s="64" t="s">
        <v>58</v>
      </c>
      <c r="D94" s="78">
        <v>2955482</v>
      </c>
      <c r="E94" s="48">
        <f t="shared" si="3"/>
        <v>7</v>
      </c>
      <c r="F94" s="49" t="str">
        <f t="shared" si="4"/>
        <v>1342955482</v>
      </c>
      <c r="G94" s="50" t="str">
        <f t="shared" si="5"/>
        <v>　</v>
      </c>
      <c r="H94" s="85" t="s">
        <v>1030</v>
      </c>
      <c r="I94" s="66" t="s">
        <v>598</v>
      </c>
      <c r="J94" s="66" t="s">
        <v>44</v>
      </c>
      <c r="K94" s="93" t="s">
        <v>1031</v>
      </c>
      <c r="L94" s="94" t="s">
        <v>1032</v>
      </c>
      <c r="M94" s="13" t="s">
        <v>615</v>
      </c>
      <c r="N94" s="73" t="s">
        <v>670</v>
      </c>
      <c r="O94" s="73" t="s">
        <v>671</v>
      </c>
      <c r="P94" s="13" t="s">
        <v>1033</v>
      </c>
      <c r="Q94" s="66" t="s">
        <v>1034</v>
      </c>
      <c r="R94" s="68">
        <v>43578</v>
      </c>
      <c r="S94" s="68" t="s">
        <v>1035</v>
      </c>
      <c r="T94" s="64" t="s">
        <v>1027</v>
      </c>
      <c r="U94" s="64" t="s">
        <v>1036</v>
      </c>
      <c r="V94" s="70"/>
      <c r="W94" s="70"/>
      <c r="X94" s="77" t="s">
        <v>54</v>
      </c>
      <c r="Y94" s="63">
        <v>1</v>
      </c>
      <c r="Z94" s="63">
        <v>1</v>
      </c>
      <c r="AA94" s="63">
        <v>50107</v>
      </c>
      <c r="AB94" s="63">
        <v>50112</v>
      </c>
      <c r="AC94" s="13" t="s">
        <v>1037</v>
      </c>
      <c r="AD94" s="62"/>
      <c r="AE94" s="13"/>
      <c r="AF94" s="13"/>
      <c r="AG94" s="13"/>
      <c r="AH94" s="13"/>
      <c r="AI94" s="13"/>
      <c r="AJ94" s="71"/>
      <c r="AK94" s="71"/>
    </row>
    <row r="95" spans="1:37" ht="27" customHeight="1" x14ac:dyDescent="0.55000000000000004">
      <c r="A95" s="62" t="s">
        <v>1038</v>
      </c>
      <c r="B95" s="13"/>
      <c r="C95" s="64"/>
      <c r="D95" s="78">
        <v>2955482</v>
      </c>
      <c r="E95" s="48">
        <f t="shared" si="3"/>
        <v>7</v>
      </c>
      <c r="F95" s="49" t="str">
        <f t="shared" si="4"/>
        <v>1342955482</v>
      </c>
      <c r="G95" s="50" t="str">
        <f t="shared" si="5"/>
        <v>二重</v>
      </c>
      <c r="H95" s="72" t="s">
        <v>1030</v>
      </c>
      <c r="I95" s="66" t="s">
        <v>598</v>
      </c>
      <c r="J95" s="66" t="s">
        <v>44</v>
      </c>
      <c r="K95" s="93" t="s">
        <v>1039</v>
      </c>
      <c r="L95" s="94" t="s">
        <v>1040</v>
      </c>
      <c r="M95" s="13" t="s">
        <v>615</v>
      </c>
      <c r="N95" s="73" t="s">
        <v>616</v>
      </c>
      <c r="O95" s="73" t="s">
        <v>617</v>
      </c>
      <c r="P95" s="13" t="s">
        <v>1041</v>
      </c>
      <c r="Q95" s="66"/>
      <c r="R95" s="68">
        <v>44267</v>
      </c>
      <c r="S95" s="68">
        <v>44378</v>
      </c>
      <c r="T95" s="69">
        <v>44378</v>
      </c>
      <c r="U95" s="64" t="s">
        <v>1042</v>
      </c>
      <c r="V95" s="70"/>
      <c r="W95" s="70"/>
      <c r="X95" s="77" t="s">
        <v>54</v>
      </c>
      <c r="Y95" s="63">
        <v>1</v>
      </c>
      <c r="Z95" s="63">
        <v>1</v>
      </c>
      <c r="AA95" s="63">
        <v>50307</v>
      </c>
      <c r="AB95" s="63"/>
      <c r="AC95" s="13" t="s">
        <v>627</v>
      </c>
      <c r="AD95" s="13" t="s">
        <v>628</v>
      </c>
      <c r="AE95" s="13" t="s">
        <v>629</v>
      </c>
      <c r="AF95" s="13"/>
      <c r="AG95" s="13"/>
      <c r="AH95" s="13"/>
      <c r="AI95" s="13"/>
      <c r="AJ95" s="71"/>
      <c r="AK95" s="71"/>
    </row>
    <row r="96" spans="1:37" ht="52" x14ac:dyDescent="0.55000000000000004">
      <c r="A96" s="62" t="s">
        <v>1043</v>
      </c>
      <c r="B96" s="13"/>
      <c r="C96" s="64"/>
      <c r="D96" s="78">
        <v>2955573</v>
      </c>
      <c r="E96" s="48">
        <f t="shared" si="3"/>
        <v>7</v>
      </c>
      <c r="F96" s="49" t="str">
        <f t="shared" si="4"/>
        <v>1342955573</v>
      </c>
      <c r="G96" s="50" t="str">
        <f t="shared" si="5"/>
        <v>　</v>
      </c>
      <c r="H96" s="72" t="s">
        <v>1044</v>
      </c>
      <c r="I96" s="66" t="s">
        <v>1045</v>
      </c>
      <c r="J96" s="66" t="s">
        <v>44</v>
      </c>
      <c r="K96" s="93" t="s">
        <v>1046</v>
      </c>
      <c r="L96" s="94" t="s">
        <v>1047</v>
      </c>
      <c r="M96" s="13" t="s">
        <v>940</v>
      </c>
      <c r="N96" s="73" t="s">
        <v>941</v>
      </c>
      <c r="O96" s="73" t="s">
        <v>548</v>
      </c>
      <c r="P96" s="13" t="s">
        <v>1048</v>
      </c>
      <c r="Q96" s="13" t="s">
        <v>1049</v>
      </c>
      <c r="R96" s="68">
        <v>43867</v>
      </c>
      <c r="S96" s="68">
        <v>43922</v>
      </c>
      <c r="T96" s="69">
        <v>43922</v>
      </c>
      <c r="U96" s="64" t="s">
        <v>1050</v>
      </c>
      <c r="V96" s="74">
        <v>46113</v>
      </c>
      <c r="W96" s="77" t="s">
        <v>316</v>
      </c>
      <c r="X96" s="77" t="s">
        <v>54</v>
      </c>
      <c r="Y96" s="63">
        <v>1</v>
      </c>
      <c r="Z96" s="63">
        <v>1</v>
      </c>
      <c r="AA96" s="63">
        <v>50204</v>
      </c>
      <c r="AB96" s="63"/>
      <c r="AC96" s="13" t="s">
        <v>551</v>
      </c>
      <c r="AD96" s="62"/>
      <c r="AE96" s="13"/>
      <c r="AF96" s="13"/>
      <c r="AG96" s="13"/>
      <c r="AH96" s="13"/>
      <c r="AI96" s="13"/>
      <c r="AJ96" s="71"/>
      <c r="AK96" s="71"/>
    </row>
    <row r="97" spans="1:37" ht="27" customHeight="1" x14ac:dyDescent="0.55000000000000004">
      <c r="A97" s="62" t="s">
        <v>1051</v>
      </c>
      <c r="B97" s="13"/>
      <c r="C97" s="64"/>
      <c r="D97" s="78">
        <v>2955615</v>
      </c>
      <c r="E97" s="48">
        <f t="shared" si="3"/>
        <v>7</v>
      </c>
      <c r="F97" s="49" t="str">
        <f t="shared" si="4"/>
        <v>1342955615</v>
      </c>
      <c r="G97" s="50" t="str">
        <f t="shared" si="5"/>
        <v>　</v>
      </c>
      <c r="H97" s="72" t="s">
        <v>1052</v>
      </c>
      <c r="I97" s="66" t="s">
        <v>1053</v>
      </c>
      <c r="J97" s="66" t="s">
        <v>44</v>
      </c>
      <c r="K97" s="93" t="s">
        <v>1054</v>
      </c>
      <c r="L97" s="94" t="s">
        <v>1055</v>
      </c>
      <c r="M97" s="13" t="s">
        <v>1056</v>
      </c>
      <c r="N97" s="73" t="s">
        <v>1057</v>
      </c>
      <c r="O97" s="73" t="s">
        <v>898</v>
      </c>
      <c r="P97" s="13" t="s">
        <v>1058</v>
      </c>
      <c r="Q97" s="66"/>
      <c r="R97" s="68">
        <v>43949</v>
      </c>
      <c r="S97" s="68">
        <v>44013</v>
      </c>
      <c r="T97" s="69">
        <v>44013</v>
      </c>
      <c r="U97" s="64" t="s">
        <v>1059</v>
      </c>
      <c r="V97" s="70"/>
      <c r="W97" s="70"/>
      <c r="X97" s="77" t="s">
        <v>54</v>
      </c>
      <c r="Y97" s="63">
        <v>1</v>
      </c>
      <c r="Z97" s="63">
        <v>1</v>
      </c>
      <c r="AA97" s="63">
        <v>50207</v>
      </c>
      <c r="AB97" s="63"/>
      <c r="AC97" s="13" t="s">
        <v>902</v>
      </c>
      <c r="AD97" s="62"/>
      <c r="AE97" s="13"/>
      <c r="AF97" s="13"/>
      <c r="AG97" s="13"/>
      <c r="AH97" s="13"/>
      <c r="AI97" s="13"/>
      <c r="AJ97" s="71"/>
      <c r="AK97" s="71"/>
    </row>
    <row r="98" spans="1:37" ht="27" customHeight="1" x14ac:dyDescent="0.55000000000000004">
      <c r="A98" s="62" t="s">
        <v>1060</v>
      </c>
      <c r="B98" s="96"/>
      <c r="C98" s="97"/>
      <c r="D98" s="96">
        <v>2954188</v>
      </c>
      <c r="E98" s="48">
        <f t="shared" si="3"/>
        <v>7</v>
      </c>
      <c r="F98" s="49" t="str">
        <f t="shared" si="4"/>
        <v>1342954188</v>
      </c>
      <c r="G98" s="50" t="str">
        <f t="shared" si="5"/>
        <v>　</v>
      </c>
      <c r="H98" s="98" t="s">
        <v>1061</v>
      </c>
      <c r="I98" s="87" t="s">
        <v>1062</v>
      </c>
      <c r="J98" s="66" t="s">
        <v>44</v>
      </c>
      <c r="K98" s="96" t="s">
        <v>1063</v>
      </c>
      <c r="L98" s="87" t="s">
        <v>1064</v>
      </c>
      <c r="M98" s="96" t="s">
        <v>1065</v>
      </c>
      <c r="N98" s="73" t="s">
        <v>1066</v>
      </c>
      <c r="O98" s="73" t="s">
        <v>1067</v>
      </c>
      <c r="P98" s="96" t="s">
        <v>1068</v>
      </c>
      <c r="Q98" s="96"/>
      <c r="R98" s="68">
        <v>44064</v>
      </c>
      <c r="S98" s="99">
        <v>44105</v>
      </c>
      <c r="T98" s="99">
        <v>44105</v>
      </c>
      <c r="U98" s="97" t="s">
        <v>1069</v>
      </c>
      <c r="V98" s="96"/>
      <c r="W98" s="96"/>
      <c r="X98" s="77" t="s">
        <v>54</v>
      </c>
      <c r="Y98" s="63">
        <v>1</v>
      </c>
      <c r="Z98" s="63">
        <v>1</v>
      </c>
      <c r="AA98" s="96">
        <v>50210</v>
      </c>
      <c r="AB98" s="96"/>
      <c r="AC98" s="96"/>
      <c r="AD98" s="96"/>
      <c r="AE98" s="96"/>
      <c r="AF98" s="96"/>
      <c r="AG98" s="96"/>
      <c r="AH98" s="96"/>
      <c r="AI98" s="96"/>
      <c r="AJ98" s="71"/>
      <c r="AK98" s="71"/>
    </row>
    <row r="99" spans="1:37" ht="27" customHeight="1" x14ac:dyDescent="0.55000000000000004">
      <c r="A99" s="62" t="s">
        <v>1070</v>
      </c>
      <c r="B99" s="96"/>
      <c r="C99" s="97"/>
      <c r="D99" s="96">
        <v>2954071</v>
      </c>
      <c r="E99" s="48">
        <f t="shared" si="3"/>
        <v>7</v>
      </c>
      <c r="F99" s="49" t="str">
        <f t="shared" si="4"/>
        <v>1342954071</v>
      </c>
      <c r="G99" s="50" t="str">
        <f t="shared" si="5"/>
        <v>　</v>
      </c>
      <c r="H99" s="98" t="s">
        <v>1071</v>
      </c>
      <c r="I99" s="87" t="s">
        <v>1072</v>
      </c>
      <c r="J99" s="66" t="s">
        <v>44</v>
      </c>
      <c r="K99" s="96" t="s">
        <v>1073</v>
      </c>
      <c r="L99" s="87" t="s">
        <v>1074</v>
      </c>
      <c r="M99" s="96" t="s">
        <v>1075</v>
      </c>
      <c r="N99" s="73" t="s">
        <v>1076</v>
      </c>
      <c r="O99" s="73" t="s">
        <v>1077</v>
      </c>
      <c r="P99" s="96" t="s">
        <v>1078</v>
      </c>
      <c r="Q99" s="96"/>
      <c r="R99" s="100">
        <v>44057</v>
      </c>
      <c r="S99" s="99">
        <v>44105</v>
      </c>
      <c r="T99" s="99">
        <v>44105</v>
      </c>
      <c r="U99" s="97" t="s">
        <v>1079</v>
      </c>
      <c r="V99" s="96"/>
      <c r="W99" s="96"/>
      <c r="X99" s="77" t="s">
        <v>54</v>
      </c>
      <c r="Y99" s="63">
        <v>1</v>
      </c>
      <c r="Z99" s="63">
        <v>1</v>
      </c>
      <c r="AA99" s="96">
        <v>50210</v>
      </c>
      <c r="AB99" s="96"/>
      <c r="AC99" s="96"/>
      <c r="AD99" s="96"/>
      <c r="AE99" s="96"/>
      <c r="AF99" s="96"/>
      <c r="AG99" s="96"/>
      <c r="AH99" s="96"/>
      <c r="AI99" s="96"/>
      <c r="AJ99" s="71"/>
      <c r="AK99" s="71"/>
    </row>
    <row r="100" spans="1:37" ht="40.5" customHeight="1" x14ac:dyDescent="0.55000000000000004">
      <c r="A100" s="62" t="s">
        <v>1080</v>
      </c>
      <c r="B100" s="13"/>
      <c r="C100" s="97"/>
      <c r="D100" s="96">
        <v>2955656</v>
      </c>
      <c r="E100" s="48">
        <f t="shared" si="3"/>
        <v>7</v>
      </c>
      <c r="F100" s="49" t="str">
        <f t="shared" si="4"/>
        <v>1342955656</v>
      </c>
      <c r="G100" s="50" t="str">
        <f t="shared" si="5"/>
        <v>　</v>
      </c>
      <c r="H100" s="98" t="s">
        <v>1081</v>
      </c>
      <c r="I100" s="87" t="s">
        <v>667</v>
      </c>
      <c r="J100" s="66" t="s">
        <v>44</v>
      </c>
      <c r="K100" s="96" t="s">
        <v>1082</v>
      </c>
      <c r="L100" s="87" t="s">
        <v>1083</v>
      </c>
      <c r="M100" s="96" t="s">
        <v>1084</v>
      </c>
      <c r="N100" s="73" t="s">
        <v>616</v>
      </c>
      <c r="O100" s="73" t="s">
        <v>617</v>
      </c>
      <c r="P100" s="96" t="s">
        <v>1085</v>
      </c>
      <c r="Q100" s="87" t="s">
        <v>1086</v>
      </c>
      <c r="R100" s="99">
        <v>43987</v>
      </c>
      <c r="S100" s="99">
        <v>44105</v>
      </c>
      <c r="T100" s="99">
        <v>44105</v>
      </c>
      <c r="U100" s="97" t="s">
        <v>1087</v>
      </c>
      <c r="V100" s="96"/>
      <c r="W100" s="96"/>
      <c r="X100" s="77" t="s">
        <v>54</v>
      </c>
      <c r="Y100" s="63">
        <v>1</v>
      </c>
      <c r="Z100" s="63">
        <v>1</v>
      </c>
      <c r="AA100" s="96">
        <v>50210</v>
      </c>
      <c r="AB100" s="96"/>
      <c r="AC100" s="13" t="s">
        <v>627</v>
      </c>
      <c r="AD100" s="13" t="s">
        <v>628</v>
      </c>
      <c r="AE100" s="87" t="s">
        <v>1088</v>
      </c>
      <c r="AF100" s="96"/>
      <c r="AG100" s="96"/>
      <c r="AH100" s="96"/>
      <c r="AI100" s="96"/>
      <c r="AJ100" s="71"/>
      <c r="AK100" s="71"/>
    </row>
    <row r="101" spans="1:37" ht="27" customHeight="1" x14ac:dyDescent="0.55000000000000004">
      <c r="A101" s="62" t="s">
        <v>1089</v>
      </c>
      <c r="B101" s="13"/>
      <c r="C101" s="97"/>
      <c r="D101" s="96">
        <v>2955722</v>
      </c>
      <c r="E101" s="48">
        <f t="shared" si="3"/>
        <v>7</v>
      </c>
      <c r="F101" s="49" t="str">
        <f t="shared" si="4"/>
        <v>1342955722</v>
      </c>
      <c r="G101" s="50" t="str">
        <f t="shared" si="5"/>
        <v>　</v>
      </c>
      <c r="H101" s="98" t="s">
        <v>1090</v>
      </c>
      <c r="I101" s="87" t="s">
        <v>1091</v>
      </c>
      <c r="J101" s="66" t="s">
        <v>44</v>
      </c>
      <c r="K101" s="96" t="s">
        <v>1092</v>
      </c>
      <c r="L101" s="87" t="s">
        <v>1093</v>
      </c>
      <c r="M101" s="96" t="s">
        <v>1094</v>
      </c>
      <c r="N101" s="73" t="s">
        <v>897</v>
      </c>
      <c r="O101" s="73" t="s">
        <v>898</v>
      </c>
      <c r="P101" s="96" t="s">
        <v>1095</v>
      </c>
      <c r="Q101" s="96"/>
      <c r="R101" s="99">
        <v>44146</v>
      </c>
      <c r="S101" s="99">
        <v>44197</v>
      </c>
      <c r="T101" s="99">
        <v>44197</v>
      </c>
      <c r="U101" s="97" t="s">
        <v>1096</v>
      </c>
      <c r="V101" s="96"/>
      <c r="W101" s="96"/>
      <c r="X101" s="77" t="s">
        <v>54</v>
      </c>
      <c r="Y101" s="63">
        <v>1</v>
      </c>
      <c r="Z101" s="63">
        <v>1</v>
      </c>
      <c r="AA101" s="96">
        <v>50301</v>
      </c>
      <c r="AB101" s="96"/>
      <c r="AC101" s="13" t="s">
        <v>902</v>
      </c>
      <c r="AD101" s="96"/>
      <c r="AE101" s="96"/>
      <c r="AF101" s="96"/>
      <c r="AG101" s="96"/>
      <c r="AH101" s="96"/>
      <c r="AI101" s="96"/>
      <c r="AJ101" s="71"/>
      <c r="AK101" s="71"/>
    </row>
    <row r="102" spans="1:37" ht="42" customHeight="1" x14ac:dyDescent="0.55000000000000004">
      <c r="A102" s="62" t="s">
        <v>1097</v>
      </c>
      <c r="B102" s="13"/>
      <c r="C102" s="97"/>
      <c r="D102" s="96">
        <v>2955755</v>
      </c>
      <c r="E102" s="48">
        <f t="shared" si="3"/>
        <v>7</v>
      </c>
      <c r="F102" s="49" t="str">
        <f t="shared" si="4"/>
        <v>1342955755</v>
      </c>
      <c r="G102" s="50" t="str">
        <f t="shared" si="5"/>
        <v>　</v>
      </c>
      <c r="H102" s="98" t="s">
        <v>1098</v>
      </c>
      <c r="I102" s="87" t="s">
        <v>1099</v>
      </c>
      <c r="J102" s="66" t="s">
        <v>44</v>
      </c>
      <c r="K102" s="96" t="s">
        <v>1100</v>
      </c>
      <c r="L102" s="87" t="s">
        <v>1101</v>
      </c>
      <c r="M102" s="87" t="s">
        <v>1102</v>
      </c>
      <c r="N102" s="73" t="s">
        <v>547</v>
      </c>
      <c r="O102" s="73" t="s">
        <v>1103</v>
      </c>
      <c r="P102" s="96" t="s">
        <v>1104</v>
      </c>
      <c r="Q102" s="96"/>
      <c r="R102" s="99">
        <v>44235</v>
      </c>
      <c r="S102" s="99">
        <v>44287</v>
      </c>
      <c r="T102" s="99">
        <v>44287</v>
      </c>
      <c r="U102" s="97" t="s">
        <v>1105</v>
      </c>
      <c r="V102" s="96"/>
      <c r="W102" s="96"/>
      <c r="X102" s="77" t="s">
        <v>54</v>
      </c>
      <c r="Y102" s="63">
        <v>1</v>
      </c>
      <c r="Z102" s="63">
        <v>1</v>
      </c>
      <c r="AA102" s="96">
        <v>50304</v>
      </c>
      <c r="AB102" s="96"/>
      <c r="AC102" s="13" t="s">
        <v>551</v>
      </c>
      <c r="AD102" s="96"/>
      <c r="AE102" s="96"/>
      <c r="AF102" s="96"/>
      <c r="AG102" s="96"/>
      <c r="AH102" s="96"/>
      <c r="AI102" s="96"/>
      <c r="AJ102" s="71"/>
      <c r="AK102" s="71"/>
    </row>
    <row r="103" spans="1:37" ht="27" customHeight="1" x14ac:dyDescent="0.55000000000000004">
      <c r="A103" s="62" t="s">
        <v>1106</v>
      </c>
      <c r="B103" s="96"/>
      <c r="C103" s="97"/>
      <c r="D103" s="96">
        <v>2955698</v>
      </c>
      <c r="E103" s="48">
        <f t="shared" si="3"/>
        <v>7</v>
      </c>
      <c r="F103" s="49" t="str">
        <f t="shared" si="4"/>
        <v>1342955698</v>
      </c>
      <c r="G103" s="50" t="str">
        <f t="shared" si="5"/>
        <v>　</v>
      </c>
      <c r="H103" s="98" t="s">
        <v>1107</v>
      </c>
      <c r="I103" s="87" t="s">
        <v>144</v>
      </c>
      <c r="J103" s="66" t="s">
        <v>44</v>
      </c>
      <c r="K103" s="96" t="s">
        <v>1108</v>
      </c>
      <c r="L103" s="87" t="s">
        <v>1109</v>
      </c>
      <c r="M103" s="96" t="s">
        <v>1110</v>
      </c>
      <c r="N103" s="73" t="s">
        <v>1111</v>
      </c>
      <c r="O103" s="73" t="s">
        <v>1112</v>
      </c>
      <c r="P103" s="96" t="s">
        <v>1113</v>
      </c>
      <c r="Q103" s="96"/>
      <c r="R103" s="99">
        <v>44210</v>
      </c>
      <c r="S103" s="99">
        <v>44287</v>
      </c>
      <c r="T103" s="99">
        <v>44287</v>
      </c>
      <c r="U103" s="97" t="s">
        <v>1114</v>
      </c>
      <c r="V103" s="96"/>
      <c r="W103" s="96"/>
      <c r="X103" s="77" t="s">
        <v>54</v>
      </c>
      <c r="Y103" s="63">
        <v>1</v>
      </c>
      <c r="Z103" s="63">
        <v>1</v>
      </c>
      <c r="AA103" s="96">
        <v>50304</v>
      </c>
      <c r="AB103" s="96"/>
      <c r="AC103" s="96"/>
      <c r="AD103" s="96"/>
      <c r="AE103" s="96"/>
      <c r="AF103" s="96"/>
      <c r="AG103" s="96"/>
      <c r="AH103" s="96"/>
      <c r="AI103" s="96"/>
      <c r="AJ103" s="71"/>
      <c r="AK103" s="71"/>
    </row>
    <row r="104" spans="1:37" ht="45.75" customHeight="1" x14ac:dyDescent="0.55000000000000004">
      <c r="A104" s="62" t="s">
        <v>1115</v>
      </c>
      <c r="B104" s="13"/>
      <c r="C104" s="77"/>
      <c r="D104" s="65">
        <v>2955730</v>
      </c>
      <c r="E104" s="48">
        <f t="shared" si="3"/>
        <v>7</v>
      </c>
      <c r="F104" s="49" t="str">
        <f t="shared" si="4"/>
        <v>1342955730</v>
      </c>
      <c r="G104" s="50" t="str">
        <f t="shared" si="5"/>
        <v>　</v>
      </c>
      <c r="H104" s="98" t="s">
        <v>1116</v>
      </c>
      <c r="I104" s="87" t="s">
        <v>1117</v>
      </c>
      <c r="J104" s="66" t="s">
        <v>44</v>
      </c>
      <c r="K104" s="13" t="s">
        <v>1118</v>
      </c>
      <c r="L104" s="13" t="s">
        <v>1119</v>
      </c>
      <c r="M104" s="13" t="s">
        <v>546</v>
      </c>
      <c r="N104" s="73" t="s">
        <v>547</v>
      </c>
      <c r="O104" s="73" t="s">
        <v>548</v>
      </c>
      <c r="P104" s="13" t="s">
        <v>1120</v>
      </c>
      <c r="Q104" s="13" t="s">
        <v>1121</v>
      </c>
      <c r="R104" s="74">
        <v>44403</v>
      </c>
      <c r="S104" s="79">
        <v>44470</v>
      </c>
      <c r="T104" s="79">
        <v>44470</v>
      </c>
      <c r="U104" s="97" t="s">
        <v>1122</v>
      </c>
      <c r="V104" s="101"/>
      <c r="W104" s="77"/>
      <c r="X104" s="70" t="s">
        <v>54</v>
      </c>
      <c r="Y104" s="63">
        <v>1</v>
      </c>
      <c r="Z104" s="63">
        <v>1</v>
      </c>
      <c r="AA104" s="63">
        <v>50310</v>
      </c>
      <c r="AB104" s="63"/>
      <c r="AC104" s="13" t="s">
        <v>551</v>
      </c>
      <c r="AD104" s="13"/>
      <c r="AE104" s="13"/>
      <c r="AF104" s="63"/>
      <c r="AG104" s="63"/>
      <c r="AH104" s="63"/>
      <c r="AI104" s="63"/>
      <c r="AJ104" s="71"/>
      <c r="AK104" s="71"/>
    </row>
    <row r="105" spans="1:37" ht="48.75" customHeight="1" x14ac:dyDescent="0.55000000000000004">
      <c r="A105" s="62" t="s">
        <v>1123</v>
      </c>
      <c r="B105" s="87"/>
      <c r="C105" s="64" t="s">
        <v>58</v>
      </c>
      <c r="D105" s="96">
        <v>2955797</v>
      </c>
      <c r="E105" s="48">
        <f t="shared" si="3"/>
        <v>7</v>
      </c>
      <c r="F105" s="49" t="str">
        <f t="shared" si="4"/>
        <v>1342955797</v>
      </c>
      <c r="G105" s="50" t="str">
        <f t="shared" si="5"/>
        <v>　</v>
      </c>
      <c r="H105" s="98" t="s">
        <v>1124</v>
      </c>
      <c r="I105" s="87" t="s">
        <v>972</v>
      </c>
      <c r="J105" s="66" t="s">
        <v>44</v>
      </c>
      <c r="K105" s="96" t="s">
        <v>1125</v>
      </c>
      <c r="L105" s="87" t="s">
        <v>1126</v>
      </c>
      <c r="M105" s="96" t="s">
        <v>1127</v>
      </c>
      <c r="N105" s="73" t="s">
        <v>1128</v>
      </c>
      <c r="O105" s="73" t="s">
        <v>1129</v>
      </c>
      <c r="P105" s="96" t="s">
        <v>1130</v>
      </c>
      <c r="Q105" s="87" t="s">
        <v>1131</v>
      </c>
      <c r="R105" s="99">
        <v>44466</v>
      </c>
      <c r="S105" s="99">
        <v>44562</v>
      </c>
      <c r="T105" s="99">
        <v>44562</v>
      </c>
      <c r="U105" s="97" t="s">
        <v>1132</v>
      </c>
      <c r="V105" s="96"/>
      <c r="W105" s="96"/>
      <c r="X105" s="70" t="s">
        <v>54</v>
      </c>
      <c r="Y105" s="63">
        <v>1</v>
      </c>
      <c r="Z105" s="63">
        <v>1</v>
      </c>
      <c r="AA105" s="96">
        <v>50401</v>
      </c>
      <c r="AB105" s="96">
        <v>50802</v>
      </c>
      <c r="AC105" s="13" t="s">
        <v>1133</v>
      </c>
      <c r="AD105" s="87" t="s">
        <v>1134</v>
      </c>
      <c r="AE105" s="96"/>
      <c r="AF105" s="96"/>
      <c r="AG105" s="96"/>
      <c r="AH105" s="96"/>
      <c r="AI105" s="96"/>
      <c r="AJ105" s="71"/>
      <c r="AK105" s="71"/>
    </row>
    <row r="106" spans="1:37" ht="45" customHeight="1" x14ac:dyDescent="0.55000000000000004">
      <c r="A106" s="62" t="s">
        <v>1135</v>
      </c>
      <c r="B106" s="13"/>
      <c r="C106" s="97"/>
      <c r="D106" s="96">
        <v>2955813</v>
      </c>
      <c r="E106" s="48">
        <f t="shared" si="3"/>
        <v>7</v>
      </c>
      <c r="F106" s="49" t="str">
        <f t="shared" si="4"/>
        <v>1342955813</v>
      </c>
      <c r="G106" s="50" t="str">
        <f t="shared" si="5"/>
        <v>　</v>
      </c>
      <c r="H106" s="98" t="s">
        <v>1136</v>
      </c>
      <c r="I106" s="87" t="s">
        <v>1045</v>
      </c>
      <c r="J106" s="66" t="s">
        <v>44</v>
      </c>
      <c r="K106" s="96" t="s">
        <v>1137</v>
      </c>
      <c r="L106" s="87" t="s">
        <v>1138</v>
      </c>
      <c r="M106" s="96" t="s">
        <v>1139</v>
      </c>
      <c r="N106" s="73" t="s">
        <v>897</v>
      </c>
      <c r="O106" s="73" t="s">
        <v>898</v>
      </c>
      <c r="P106" s="96" t="s">
        <v>1140</v>
      </c>
      <c r="Q106" s="87" t="s">
        <v>1141</v>
      </c>
      <c r="R106" s="99">
        <v>44505</v>
      </c>
      <c r="S106" s="99">
        <v>44562</v>
      </c>
      <c r="T106" s="99">
        <v>44562</v>
      </c>
      <c r="U106" s="97" t="s">
        <v>1142</v>
      </c>
      <c r="V106" s="96"/>
      <c r="W106" s="96"/>
      <c r="X106" s="70" t="s">
        <v>54</v>
      </c>
      <c r="Y106" s="63">
        <v>1</v>
      </c>
      <c r="Z106" s="63">
        <v>1</v>
      </c>
      <c r="AA106" s="96">
        <v>50401</v>
      </c>
      <c r="AB106" s="96"/>
      <c r="AC106" s="13" t="s">
        <v>902</v>
      </c>
      <c r="AD106" s="96"/>
      <c r="AE106" s="96"/>
      <c r="AF106" s="96"/>
      <c r="AG106" s="96"/>
      <c r="AH106" s="96"/>
      <c r="AI106" s="96"/>
      <c r="AJ106" s="71"/>
      <c r="AK106" s="71"/>
    </row>
    <row r="107" spans="1:37" ht="46.5" customHeight="1" x14ac:dyDescent="0.55000000000000004">
      <c r="A107" s="62" t="s">
        <v>1143</v>
      </c>
      <c r="B107" s="13"/>
      <c r="C107" s="97"/>
      <c r="D107" s="96">
        <v>2955839</v>
      </c>
      <c r="E107" s="48">
        <f t="shared" si="3"/>
        <v>7</v>
      </c>
      <c r="F107" s="49" t="str">
        <f t="shared" si="4"/>
        <v>1342955839</v>
      </c>
      <c r="G107" s="50" t="str">
        <f t="shared" si="5"/>
        <v>　</v>
      </c>
      <c r="H107" s="98" t="s">
        <v>1144</v>
      </c>
      <c r="I107" s="87" t="s">
        <v>918</v>
      </c>
      <c r="J107" s="66" t="s">
        <v>44</v>
      </c>
      <c r="K107" s="96" t="s">
        <v>1145</v>
      </c>
      <c r="L107" s="87" t="s">
        <v>1146</v>
      </c>
      <c r="M107" s="13" t="s">
        <v>546</v>
      </c>
      <c r="N107" s="73" t="s">
        <v>547</v>
      </c>
      <c r="O107" s="73" t="s">
        <v>548</v>
      </c>
      <c r="P107" s="96" t="s">
        <v>1147</v>
      </c>
      <c r="Q107" s="87" t="s">
        <v>1148</v>
      </c>
      <c r="R107" s="99">
        <v>44511</v>
      </c>
      <c r="S107" s="99">
        <v>44562</v>
      </c>
      <c r="T107" s="99">
        <v>44562</v>
      </c>
      <c r="U107" s="97" t="s">
        <v>1149</v>
      </c>
      <c r="V107" s="96"/>
      <c r="W107" s="96"/>
      <c r="X107" s="70" t="s">
        <v>54</v>
      </c>
      <c r="Y107" s="63">
        <v>1</v>
      </c>
      <c r="Z107" s="63">
        <v>1</v>
      </c>
      <c r="AA107" s="96">
        <v>50401</v>
      </c>
      <c r="AB107" s="96"/>
      <c r="AC107" s="13" t="s">
        <v>551</v>
      </c>
      <c r="AD107" s="96"/>
      <c r="AE107" s="96"/>
      <c r="AF107" s="96"/>
      <c r="AG107" s="96"/>
      <c r="AH107" s="96"/>
      <c r="AI107" s="96"/>
      <c r="AJ107" s="71"/>
      <c r="AK107" s="71"/>
    </row>
    <row r="108" spans="1:37" ht="45.75" customHeight="1" x14ac:dyDescent="0.55000000000000004">
      <c r="A108" s="62" t="s">
        <v>1150</v>
      </c>
      <c r="B108" s="96"/>
      <c r="C108" s="97"/>
      <c r="D108" s="96">
        <v>2955862</v>
      </c>
      <c r="E108" s="48">
        <f t="shared" si="3"/>
        <v>7</v>
      </c>
      <c r="F108" s="49" t="str">
        <f t="shared" si="4"/>
        <v>1342955862</v>
      </c>
      <c r="G108" s="50" t="str">
        <f t="shared" si="5"/>
        <v>　</v>
      </c>
      <c r="H108" s="98" t="s">
        <v>1151</v>
      </c>
      <c r="I108" s="87" t="s">
        <v>947</v>
      </c>
      <c r="J108" s="66" t="s">
        <v>44</v>
      </c>
      <c r="K108" s="96" t="s">
        <v>1152</v>
      </c>
      <c r="L108" s="87" t="s">
        <v>1153</v>
      </c>
      <c r="M108" s="96" t="s">
        <v>1154</v>
      </c>
      <c r="N108" s="73" t="s">
        <v>1155</v>
      </c>
      <c r="O108" s="73" t="s">
        <v>1156</v>
      </c>
      <c r="P108" s="96" t="s">
        <v>1157</v>
      </c>
      <c r="Q108" s="87" t="s">
        <v>1158</v>
      </c>
      <c r="R108" s="99">
        <v>44599</v>
      </c>
      <c r="S108" s="99">
        <v>44652</v>
      </c>
      <c r="T108" s="99">
        <v>44652</v>
      </c>
      <c r="U108" s="97" t="s">
        <v>1159</v>
      </c>
      <c r="V108" s="96"/>
      <c r="W108" s="96"/>
      <c r="X108" s="70" t="s">
        <v>54</v>
      </c>
      <c r="Y108" s="63">
        <v>1</v>
      </c>
      <c r="Z108" s="63">
        <v>1</v>
      </c>
      <c r="AA108" s="96">
        <v>50404</v>
      </c>
      <c r="AB108" s="96"/>
      <c r="AC108" s="96"/>
      <c r="AD108" s="96"/>
      <c r="AE108" s="96"/>
      <c r="AF108" s="96"/>
      <c r="AG108" s="96"/>
      <c r="AH108" s="96"/>
      <c r="AI108" s="96"/>
      <c r="AJ108" s="71"/>
      <c r="AK108" s="71"/>
    </row>
    <row r="109" spans="1:37" ht="76.5" customHeight="1" x14ac:dyDescent="0.55000000000000004">
      <c r="A109" s="62" t="s">
        <v>1160</v>
      </c>
      <c r="B109" s="87"/>
      <c r="C109" s="97"/>
      <c r="D109" s="96">
        <v>2956092</v>
      </c>
      <c r="E109" s="48">
        <f t="shared" si="3"/>
        <v>7</v>
      </c>
      <c r="F109" s="49" t="str">
        <f t="shared" si="4"/>
        <v>1342956092</v>
      </c>
      <c r="G109" s="50" t="str">
        <f t="shared" si="5"/>
        <v>　</v>
      </c>
      <c r="H109" s="98" t="s">
        <v>1161</v>
      </c>
      <c r="I109" s="87" t="s">
        <v>1162</v>
      </c>
      <c r="J109" s="66" t="s">
        <v>44</v>
      </c>
      <c r="K109" s="96" t="s">
        <v>1163</v>
      </c>
      <c r="L109" s="87" t="s">
        <v>1164</v>
      </c>
      <c r="M109" s="96" t="s">
        <v>1165</v>
      </c>
      <c r="N109" s="73" t="s">
        <v>1166</v>
      </c>
      <c r="O109" s="73" t="s">
        <v>1167</v>
      </c>
      <c r="P109" s="96" t="s">
        <v>1168</v>
      </c>
      <c r="Q109" s="96"/>
      <c r="R109" s="99">
        <v>44585</v>
      </c>
      <c r="S109" s="99">
        <v>44652</v>
      </c>
      <c r="T109" s="99">
        <v>44652</v>
      </c>
      <c r="U109" s="97" t="s">
        <v>1169</v>
      </c>
      <c r="V109" s="96"/>
      <c r="W109" s="96"/>
      <c r="X109" s="70" t="s">
        <v>54</v>
      </c>
      <c r="Y109" s="63">
        <v>1</v>
      </c>
      <c r="Z109" s="63">
        <v>1</v>
      </c>
      <c r="AA109" s="96">
        <v>50404</v>
      </c>
      <c r="AB109" s="96"/>
      <c r="AC109" s="13" t="s">
        <v>1170</v>
      </c>
      <c r="AD109" s="96"/>
      <c r="AE109" s="96"/>
      <c r="AF109" s="96"/>
      <c r="AG109" s="96"/>
      <c r="AH109" s="96"/>
      <c r="AI109" s="96"/>
      <c r="AJ109" s="71"/>
      <c r="AK109" s="71"/>
    </row>
    <row r="110" spans="1:37" ht="45.75" customHeight="1" x14ac:dyDescent="0.55000000000000004">
      <c r="A110" s="62" t="s">
        <v>1171</v>
      </c>
      <c r="B110" s="96"/>
      <c r="C110" s="97"/>
      <c r="D110" s="96">
        <v>2952059</v>
      </c>
      <c r="E110" s="48">
        <f t="shared" si="3"/>
        <v>7</v>
      </c>
      <c r="F110" s="49" t="str">
        <f t="shared" si="4"/>
        <v>1342952059</v>
      </c>
      <c r="G110" s="50" t="str">
        <f t="shared" si="5"/>
        <v>　</v>
      </c>
      <c r="H110" s="98" t="s">
        <v>1172</v>
      </c>
      <c r="I110" s="87" t="s">
        <v>1173</v>
      </c>
      <c r="J110" s="66" t="s">
        <v>44</v>
      </c>
      <c r="K110" s="96" t="s">
        <v>1174</v>
      </c>
      <c r="L110" s="87" t="s">
        <v>1175</v>
      </c>
      <c r="M110" s="13" t="s">
        <v>1176</v>
      </c>
      <c r="N110" s="73" t="s">
        <v>1177</v>
      </c>
      <c r="O110" s="73" t="s">
        <v>1178</v>
      </c>
      <c r="P110" s="96" t="s">
        <v>1179</v>
      </c>
      <c r="Q110" s="87" t="s">
        <v>1180</v>
      </c>
      <c r="R110" s="99">
        <v>44581</v>
      </c>
      <c r="S110" s="99">
        <v>44652</v>
      </c>
      <c r="T110" s="99">
        <v>44652</v>
      </c>
      <c r="U110" s="97" t="s">
        <v>1181</v>
      </c>
      <c r="V110" s="96"/>
      <c r="W110" s="96"/>
      <c r="X110" s="70" t="s">
        <v>54</v>
      </c>
      <c r="Y110" s="63">
        <v>1</v>
      </c>
      <c r="Z110" s="63">
        <v>1</v>
      </c>
      <c r="AA110" s="96">
        <v>50404</v>
      </c>
      <c r="AB110" s="96"/>
      <c r="AC110" s="87" t="s">
        <v>1182</v>
      </c>
      <c r="AD110" s="87"/>
      <c r="AE110" s="96"/>
      <c r="AF110" s="96"/>
      <c r="AG110" s="96"/>
      <c r="AH110" s="96"/>
      <c r="AI110" s="96"/>
      <c r="AJ110" s="71"/>
      <c r="AK110" s="71"/>
    </row>
    <row r="111" spans="1:37" ht="39" x14ac:dyDescent="0.55000000000000004">
      <c r="A111" s="62" t="s">
        <v>1183</v>
      </c>
      <c r="B111" s="102"/>
      <c r="C111" s="97"/>
      <c r="D111" s="96">
        <v>2955433</v>
      </c>
      <c r="E111" s="48">
        <f t="shared" si="3"/>
        <v>7</v>
      </c>
      <c r="F111" s="49" t="str">
        <f t="shared" si="4"/>
        <v>1342955433</v>
      </c>
      <c r="G111" s="50" t="str">
        <f t="shared" si="5"/>
        <v>　</v>
      </c>
      <c r="H111" s="98" t="s">
        <v>1184</v>
      </c>
      <c r="I111" s="87" t="s">
        <v>323</v>
      </c>
      <c r="J111" s="66" t="s">
        <v>44</v>
      </c>
      <c r="K111" s="96" t="s">
        <v>1185</v>
      </c>
      <c r="L111" s="87" t="s">
        <v>1186</v>
      </c>
      <c r="M111" s="96" t="s">
        <v>950</v>
      </c>
      <c r="N111" s="73" t="s">
        <v>951</v>
      </c>
      <c r="O111" s="73" t="s">
        <v>1187</v>
      </c>
      <c r="P111" s="96" t="s">
        <v>1188</v>
      </c>
      <c r="Q111" s="96"/>
      <c r="R111" s="99">
        <v>44615</v>
      </c>
      <c r="S111" s="99">
        <v>44743</v>
      </c>
      <c r="T111" s="99">
        <v>44743</v>
      </c>
      <c r="U111" s="97" t="s">
        <v>1189</v>
      </c>
      <c r="V111" s="96"/>
      <c r="W111" s="96"/>
      <c r="X111" s="70" t="s">
        <v>54</v>
      </c>
      <c r="Y111" s="96">
        <v>1</v>
      </c>
      <c r="Z111" s="96">
        <v>1</v>
      </c>
      <c r="AA111" s="96">
        <v>50407</v>
      </c>
      <c r="AB111" s="96"/>
      <c r="AC111" s="66" t="s">
        <v>1190</v>
      </c>
      <c r="AD111" s="96" t="s">
        <v>1191</v>
      </c>
      <c r="AE111" s="96"/>
      <c r="AF111" s="96"/>
      <c r="AG111" s="96"/>
      <c r="AH111" s="96"/>
      <c r="AI111" s="96"/>
      <c r="AJ111" s="71"/>
      <c r="AK111" s="71"/>
    </row>
    <row r="112" spans="1:37" ht="49.5" customHeight="1" x14ac:dyDescent="0.55000000000000004">
      <c r="A112" s="62" t="s">
        <v>1192</v>
      </c>
      <c r="B112" s="102"/>
      <c r="C112" s="97"/>
      <c r="D112" s="96">
        <v>2955672</v>
      </c>
      <c r="E112" s="48">
        <f t="shared" si="3"/>
        <v>7</v>
      </c>
      <c r="F112" s="49" t="str">
        <f t="shared" si="4"/>
        <v>1342955672</v>
      </c>
      <c r="G112" s="50" t="str">
        <f t="shared" si="5"/>
        <v>　</v>
      </c>
      <c r="H112" s="98" t="s">
        <v>1193</v>
      </c>
      <c r="I112" s="87" t="s">
        <v>1053</v>
      </c>
      <c r="J112" s="66" t="s">
        <v>44</v>
      </c>
      <c r="K112" s="96" t="s">
        <v>1194</v>
      </c>
      <c r="L112" s="87" t="s">
        <v>1195</v>
      </c>
      <c r="M112" s="96" t="s">
        <v>1196</v>
      </c>
      <c r="N112" s="73" t="s">
        <v>1197</v>
      </c>
      <c r="O112" s="73" t="s">
        <v>1198</v>
      </c>
      <c r="P112" s="96" t="s">
        <v>1199</v>
      </c>
      <c r="Q112" s="87" t="s">
        <v>1200</v>
      </c>
      <c r="R112" s="99">
        <v>44687</v>
      </c>
      <c r="S112" s="99">
        <v>44743</v>
      </c>
      <c r="T112" s="99">
        <v>44743</v>
      </c>
      <c r="U112" s="97" t="s">
        <v>1201</v>
      </c>
      <c r="V112" s="96"/>
      <c r="W112" s="96"/>
      <c r="X112" s="70" t="s">
        <v>54</v>
      </c>
      <c r="Y112" s="96">
        <v>1</v>
      </c>
      <c r="Z112" s="96">
        <v>1</v>
      </c>
      <c r="AA112" s="96">
        <v>50407</v>
      </c>
      <c r="AB112" s="96"/>
      <c r="AC112" s="13"/>
      <c r="AD112" s="96"/>
      <c r="AE112" s="96"/>
      <c r="AF112" s="96"/>
      <c r="AG112" s="96"/>
      <c r="AH112" s="96"/>
      <c r="AI112" s="96"/>
      <c r="AJ112" s="71"/>
      <c r="AK112" s="71"/>
    </row>
    <row r="113" spans="1:37" ht="40.5" customHeight="1" x14ac:dyDescent="0.55000000000000004">
      <c r="A113" s="96" t="s">
        <v>1202</v>
      </c>
      <c r="B113" s="13"/>
      <c r="C113" s="97"/>
      <c r="D113" s="96">
        <v>2953925</v>
      </c>
      <c r="E113" s="48">
        <f t="shared" si="3"/>
        <v>7</v>
      </c>
      <c r="F113" s="49" t="str">
        <f t="shared" si="4"/>
        <v>1342953925</v>
      </c>
      <c r="G113" s="50" t="str">
        <f t="shared" si="5"/>
        <v>　</v>
      </c>
      <c r="H113" s="98" t="s">
        <v>1203</v>
      </c>
      <c r="I113" s="87" t="s">
        <v>1204</v>
      </c>
      <c r="J113" s="66" t="s">
        <v>44</v>
      </c>
      <c r="K113" s="96" t="s">
        <v>1205</v>
      </c>
      <c r="L113" s="87" t="s">
        <v>1206</v>
      </c>
      <c r="M113" s="87" t="s">
        <v>950</v>
      </c>
      <c r="N113" s="73" t="s">
        <v>951</v>
      </c>
      <c r="O113" s="73" t="s">
        <v>1187</v>
      </c>
      <c r="P113" s="87" t="s">
        <v>1207</v>
      </c>
      <c r="Q113" s="87" t="s">
        <v>1208</v>
      </c>
      <c r="R113" s="99">
        <v>44608</v>
      </c>
      <c r="S113" s="99">
        <v>44743</v>
      </c>
      <c r="T113" s="99">
        <v>44743</v>
      </c>
      <c r="U113" s="97" t="s">
        <v>1209</v>
      </c>
      <c r="V113" s="87"/>
      <c r="W113" s="87"/>
      <c r="X113" s="70" t="s">
        <v>54</v>
      </c>
      <c r="Y113" s="96">
        <v>1</v>
      </c>
      <c r="Z113" s="96">
        <v>1</v>
      </c>
      <c r="AA113" s="96">
        <v>50407</v>
      </c>
      <c r="AB113" s="87"/>
      <c r="AC113" s="66" t="s">
        <v>1190</v>
      </c>
      <c r="AD113" s="87"/>
      <c r="AE113" s="87"/>
      <c r="AF113" s="87"/>
      <c r="AG113" s="87"/>
      <c r="AH113" s="87"/>
      <c r="AI113" s="87"/>
      <c r="AJ113" s="71"/>
      <c r="AK113" s="71"/>
    </row>
    <row r="114" spans="1:37" ht="39" x14ac:dyDescent="0.55000000000000004">
      <c r="A114" s="96" t="s">
        <v>1210</v>
      </c>
      <c r="B114" s="13"/>
      <c r="C114" s="97"/>
      <c r="D114" s="96">
        <v>2955979</v>
      </c>
      <c r="E114" s="48">
        <f t="shared" si="3"/>
        <v>7</v>
      </c>
      <c r="F114" s="49" t="str">
        <f t="shared" si="4"/>
        <v>1342955979</v>
      </c>
      <c r="G114" s="50"/>
      <c r="H114" s="98" t="s">
        <v>1211</v>
      </c>
      <c r="I114" s="87" t="s">
        <v>339</v>
      </c>
      <c r="J114" s="66" t="s">
        <v>44</v>
      </c>
      <c r="K114" s="96" t="s">
        <v>1212</v>
      </c>
      <c r="L114" s="87" t="s">
        <v>1213</v>
      </c>
      <c r="M114" s="87" t="s">
        <v>1139</v>
      </c>
      <c r="N114" s="73" t="s">
        <v>897</v>
      </c>
      <c r="O114" s="73" t="s">
        <v>898</v>
      </c>
      <c r="P114" s="87" t="s">
        <v>1214</v>
      </c>
      <c r="Q114" s="87" t="s">
        <v>1215</v>
      </c>
      <c r="R114" s="99">
        <v>44866</v>
      </c>
      <c r="S114" s="99">
        <v>44927</v>
      </c>
      <c r="T114" s="99">
        <v>44927</v>
      </c>
      <c r="U114" s="97" t="s">
        <v>1216</v>
      </c>
      <c r="V114" s="87"/>
      <c r="W114" s="87"/>
      <c r="X114" s="70" t="s">
        <v>54</v>
      </c>
      <c r="Y114" s="96">
        <v>1</v>
      </c>
      <c r="Z114" s="96">
        <v>1</v>
      </c>
      <c r="AA114" s="96">
        <v>50501</v>
      </c>
      <c r="AB114" s="87"/>
      <c r="AC114" s="13" t="s">
        <v>902</v>
      </c>
      <c r="AD114" s="87"/>
      <c r="AE114" s="87"/>
      <c r="AF114" s="87"/>
      <c r="AG114" s="87"/>
      <c r="AH114" s="87"/>
      <c r="AI114" s="87"/>
      <c r="AJ114" s="71"/>
      <c r="AK114" s="71"/>
    </row>
    <row r="115" spans="1:37" ht="40.5" customHeight="1" x14ac:dyDescent="0.55000000000000004">
      <c r="A115" s="96" t="s">
        <v>1217</v>
      </c>
      <c r="B115" s="102"/>
      <c r="C115" s="97"/>
      <c r="D115" s="96">
        <v>2956001</v>
      </c>
      <c r="E115" s="48">
        <f t="shared" si="3"/>
        <v>7</v>
      </c>
      <c r="F115" s="49" t="str">
        <f t="shared" si="4"/>
        <v>1342956001</v>
      </c>
      <c r="G115" s="50"/>
      <c r="H115" s="98" t="s">
        <v>1218</v>
      </c>
      <c r="I115" s="87" t="s">
        <v>1219</v>
      </c>
      <c r="J115" s="66" t="s">
        <v>44</v>
      </c>
      <c r="K115" s="96" t="s">
        <v>1220</v>
      </c>
      <c r="L115" s="87" t="s">
        <v>1221</v>
      </c>
      <c r="M115" s="87" t="s">
        <v>1222</v>
      </c>
      <c r="N115" s="73" t="s">
        <v>1223</v>
      </c>
      <c r="O115" s="73" t="s">
        <v>1224</v>
      </c>
      <c r="P115" s="87" t="s">
        <v>1225</v>
      </c>
      <c r="Q115" s="87"/>
      <c r="R115" s="99">
        <v>44873</v>
      </c>
      <c r="S115" s="99">
        <v>44927</v>
      </c>
      <c r="T115" s="99">
        <v>44927</v>
      </c>
      <c r="U115" s="97" t="s">
        <v>1226</v>
      </c>
      <c r="V115" s="87"/>
      <c r="W115" s="87"/>
      <c r="X115" s="70" t="s">
        <v>54</v>
      </c>
      <c r="Y115" s="96">
        <v>1</v>
      </c>
      <c r="Z115" s="96">
        <v>1</v>
      </c>
      <c r="AA115" s="96">
        <v>50501</v>
      </c>
      <c r="AB115" s="87"/>
      <c r="AC115" s="66"/>
      <c r="AD115" s="87"/>
      <c r="AE115" s="87"/>
      <c r="AF115" s="87"/>
      <c r="AG115" s="87"/>
      <c r="AH115" s="87"/>
      <c r="AI115" s="87"/>
      <c r="AJ115" s="71"/>
      <c r="AK115" s="71"/>
    </row>
    <row r="116" spans="1:37" ht="40.5" customHeight="1" x14ac:dyDescent="0.55000000000000004">
      <c r="A116" s="96" t="s">
        <v>1227</v>
      </c>
      <c r="B116" s="102"/>
      <c r="C116" s="97"/>
      <c r="D116" s="96">
        <v>2955953</v>
      </c>
      <c r="E116" s="48">
        <f t="shared" si="3"/>
        <v>7</v>
      </c>
      <c r="F116" s="49" t="str">
        <f t="shared" si="4"/>
        <v>1342955953</v>
      </c>
      <c r="G116" s="50"/>
      <c r="H116" s="98" t="s">
        <v>1228</v>
      </c>
      <c r="I116" s="87" t="s">
        <v>212</v>
      </c>
      <c r="J116" s="66" t="s">
        <v>44</v>
      </c>
      <c r="K116" s="87" t="s">
        <v>1229</v>
      </c>
      <c r="L116" s="87" t="s">
        <v>1230</v>
      </c>
      <c r="M116" s="87" t="s">
        <v>1065</v>
      </c>
      <c r="N116" s="73" t="s">
        <v>831</v>
      </c>
      <c r="O116" s="73" t="s">
        <v>1231</v>
      </c>
      <c r="P116" s="87" t="s">
        <v>1232</v>
      </c>
      <c r="Q116" s="87"/>
      <c r="R116" s="99">
        <v>44872</v>
      </c>
      <c r="S116" s="99">
        <v>44927</v>
      </c>
      <c r="T116" s="99">
        <v>44927</v>
      </c>
      <c r="U116" s="97" t="s">
        <v>1233</v>
      </c>
      <c r="V116" s="87"/>
      <c r="W116" s="87"/>
      <c r="X116" s="70" t="s">
        <v>54</v>
      </c>
      <c r="Y116" s="96">
        <v>1</v>
      </c>
      <c r="Z116" s="96">
        <v>1</v>
      </c>
      <c r="AA116" s="96">
        <v>50501</v>
      </c>
      <c r="AB116" s="87"/>
      <c r="AC116" s="66"/>
      <c r="AD116" s="87"/>
      <c r="AE116" s="87"/>
      <c r="AF116" s="87"/>
      <c r="AG116" s="87"/>
      <c r="AH116" s="87"/>
      <c r="AI116" s="87"/>
      <c r="AJ116" s="71"/>
      <c r="AK116" s="71"/>
    </row>
    <row r="117" spans="1:37" ht="40.5" customHeight="1" x14ac:dyDescent="0.55000000000000004">
      <c r="A117" s="96" t="s">
        <v>1234</v>
      </c>
      <c r="B117" s="102"/>
      <c r="C117" s="97"/>
      <c r="D117" s="96">
        <v>2955763</v>
      </c>
      <c r="E117" s="48">
        <f t="shared" si="3"/>
        <v>7</v>
      </c>
      <c r="F117" s="49" t="str">
        <f t="shared" si="4"/>
        <v>1342955763</v>
      </c>
      <c r="G117" s="50"/>
      <c r="H117" s="98" t="s">
        <v>1235</v>
      </c>
      <c r="I117" s="87" t="s">
        <v>1236</v>
      </c>
      <c r="J117" s="66" t="s">
        <v>44</v>
      </c>
      <c r="K117" s="96" t="s">
        <v>1237</v>
      </c>
      <c r="L117" s="87" t="s">
        <v>1238</v>
      </c>
      <c r="M117" s="87" t="s">
        <v>1239</v>
      </c>
      <c r="N117" s="73" t="s">
        <v>1240</v>
      </c>
      <c r="O117" s="73" t="s">
        <v>1241</v>
      </c>
      <c r="P117" s="87" t="s">
        <v>1242</v>
      </c>
      <c r="Q117" s="87"/>
      <c r="R117" s="99">
        <v>44872</v>
      </c>
      <c r="S117" s="99">
        <v>44927</v>
      </c>
      <c r="T117" s="99">
        <v>44927</v>
      </c>
      <c r="U117" s="97" t="s">
        <v>1243</v>
      </c>
      <c r="V117" s="87"/>
      <c r="W117" s="87"/>
      <c r="X117" s="70" t="s">
        <v>54</v>
      </c>
      <c r="Y117" s="96">
        <v>1</v>
      </c>
      <c r="Z117" s="96">
        <v>1</v>
      </c>
      <c r="AA117" s="96">
        <v>50501</v>
      </c>
      <c r="AB117" s="87"/>
      <c r="AC117" s="66"/>
      <c r="AD117" s="87"/>
      <c r="AE117" s="87"/>
      <c r="AF117" s="87"/>
      <c r="AG117" s="87"/>
      <c r="AH117" s="87"/>
      <c r="AI117" s="87"/>
      <c r="AJ117" s="71"/>
      <c r="AK117" s="71"/>
    </row>
    <row r="118" spans="1:37" ht="52" x14ac:dyDescent="0.55000000000000004">
      <c r="A118" s="96" t="s">
        <v>1244</v>
      </c>
      <c r="B118" s="103"/>
      <c r="C118" s="97"/>
      <c r="D118" s="96">
        <v>2955987</v>
      </c>
      <c r="E118" s="48">
        <f t="shared" si="3"/>
        <v>7</v>
      </c>
      <c r="F118" s="49" t="str">
        <f t="shared" si="4"/>
        <v>1342955987</v>
      </c>
      <c r="G118" s="50" t="str">
        <f>IF(F118=F113,"二重","　")</f>
        <v>　</v>
      </c>
      <c r="H118" s="98" t="s">
        <v>1245</v>
      </c>
      <c r="I118" s="87" t="s">
        <v>1246</v>
      </c>
      <c r="J118" s="66" t="s">
        <v>1247</v>
      </c>
      <c r="K118" s="87" t="s">
        <v>1248</v>
      </c>
      <c r="L118" s="87" t="s">
        <v>1249</v>
      </c>
      <c r="M118" s="13" t="s">
        <v>601</v>
      </c>
      <c r="N118" s="73" t="s">
        <v>602</v>
      </c>
      <c r="O118" s="73" t="s">
        <v>712</v>
      </c>
      <c r="P118" s="96" t="s">
        <v>1250</v>
      </c>
      <c r="Q118" s="87" t="s">
        <v>1251</v>
      </c>
      <c r="R118" s="99">
        <v>44942</v>
      </c>
      <c r="S118" s="99">
        <v>45017</v>
      </c>
      <c r="T118" s="99">
        <v>45017</v>
      </c>
      <c r="U118" s="97" t="s">
        <v>1252</v>
      </c>
      <c r="V118" s="96"/>
      <c r="W118" s="96"/>
      <c r="X118" s="70" t="s">
        <v>54</v>
      </c>
      <c r="Y118" s="96">
        <v>1</v>
      </c>
      <c r="Z118" s="96">
        <v>1</v>
      </c>
      <c r="AA118" s="96">
        <v>50504</v>
      </c>
      <c r="AB118" s="96"/>
      <c r="AC118" s="96"/>
      <c r="AD118" s="96"/>
      <c r="AE118" s="96"/>
      <c r="AF118" s="96"/>
      <c r="AG118" s="96"/>
      <c r="AH118" s="96"/>
      <c r="AI118" s="96"/>
      <c r="AJ118" s="71"/>
      <c r="AK118" s="71"/>
    </row>
    <row r="119" spans="1:37" ht="40.5" customHeight="1" x14ac:dyDescent="0.55000000000000004">
      <c r="A119" s="96" t="s">
        <v>1253</v>
      </c>
      <c r="B119" s="13"/>
      <c r="C119" s="97"/>
      <c r="D119" s="96">
        <v>2955995</v>
      </c>
      <c r="E119" s="48">
        <f t="shared" si="3"/>
        <v>7</v>
      </c>
      <c r="F119" s="49" t="str">
        <f t="shared" si="4"/>
        <v>1342955995</v>
      </c>
      <c r="G119" s="50" t="str">
        <f>IF(F119=F118,"二重","　")</f>
        <v>　</v>
      </c>
      <c r="H119" s="98" t="s">
        <v>1254</v>
      </c>
      <c r="I119" s="87" t="s">
        <v>1255</v>
      </c>
      <c r="J119" s="66" t="s">
        <v>1247</v>
      </c>
      <c r="K119" s="96" t="s">
        <v>1256</v>
      </c>
      <c r="L119" s="87" t="s">
        <v>1257</v>
      </c>
      <c r="M119" s="96" t="s">
        <v>1139</v>
      </c>
      <c r="N119" s="73" t="s">
        <v>897</v>
      </c>
      <c r="O119" s="73" t="s">
        <v>898</v>
      </c>
      <c r="P119" s="87" t="s">
        <v>1258</v>
      </c>
      <c r="Q119" s="87" t="s">
        <v>1259</v>
      </c>
      <c r="R119" s="99">
        <v>44959</v>
      </c>
      <c r="S119" s="99">
        <v>45017</v>
      </c>
      <c r="T119" s="99">
        <v>45017</v>
      </c>
      <c r="U119" s="97" t="s">
        <v>1260</v>
      </c>
      <c r="V119" s="87"/>
      <c r="W119" s="87"/>
      <c r="X119" s="70" t="s">
        <v>54</v>
      </c>
      <c r="Y119" s="96">
        <v>1</v>
      </c>
      <c r="Z119" s="96">
        <v>1</v>
      </c>
      <c r="AA119" s="96">
        <v>50504</v>
      </c>
      <c r="AB119" s="87"/>
      <c r="AC119" s="13" t="s">
        <v>902</v>
      </c>
      <c r="AD119" s="87"/>
      <c r="AE119" s="87"/>
      <c r="AF119" s="87"/>
      <c r="AG119" s="87"/>
      <c r="AH119" s="87"/>
      <c r="AI119" s="87"/>
      <c r="AJ119" s="71"/>
      <c r="AK119" s="71"/>
    </row>
    <row r="120" spans="1:37" ht="42" customHeight="1" x14ac:dyDescent="0.55000000000000004">
      <c r="A120" s="96" t="s">
        <v>1261</v>
      </c>
      <c r="B120" s="71"/>
      <c r="C120" s="104"/>
      <c r="D120" s="105">
        <v>2956019</v>
      </c>
      <c r="E120" s="48">
        <f t="shared" si="3"/>
        <v>7</v>
      </c>
      <c r="F120" s="49" t="str">
        <f t="shared" si="4"/>
        <v>1342956019</v>
      </c>
      <c r="G120" s="71"/>
      <c r="H120" s="106" t="s">
        <v>1262</v>
      </c>
      <c r="I120" s="106" t="s">
        <v>972</v>
      </c>
      <c r="J120" s="66" t="s">
        <v>1247</v>
      </c>
      <c r="K120" s="71" t="s">
        <v>1263</v>
      </c>
      <c r="L120" s="107" t="s">
        <v>1264</v>
      </c>
      <c r="M120" s="71" t="s">
        <v>1265</v>
      </c>
      <c r="N120" s="108" t="s">
        <v>1266</v>
      </c>
      <c r="O120" s="109" t="s">
        <v>1267</v>
      </c>
      <c r="P120" s="71" t="s">
        <v>1268</v>
      </c>
      <c r="Q120" s="71"/>
      <c r="R120" s="99">
        <v>45040</v>
      </c>
      <c r="S120" s="99">
        <v>45108</v>
      </c>
      <c r="T120" s="99">
        <v>45108</v>
      </c>
      <c r="U120" s="97" t="s">
        <v>1269</v>
      </c>
      <c r="V120" s="71"/>
      <c r="W120" s="71"/>
      <c r="X120" s="70" t="s">
        <v>54</v>
      </c>
      <c r="Y120" s="96">
        <v>1</v>
      </c>
      <c r="Z120" s="96">
        <v>1</v>
      </c>
      <c r="AA120" s="96">
        <v>50507</v>
      </c>
      <c r="AB120" s="71"/>
      <c r="AC120" s="71"/>
      <c r="AD120" s="71"/>
      <c r="AE120" s="71"/>
      <c r="AF120" s="71"/>
      <c r="AG120" s="71"/>
      <c r="AH120" s="71"/>
      <c r="AI120" s="71"/>
      <c r="AJ120" s="71"/>
      <c r="AK120" s="71"/>
    </row>
    <row r="121" spans="1:37" ht="26" x14ac:dyDescent="0.55000000000000004">
      <c r="A121" s="62" t="s">
        <v>1270</v>
      </c>
      <c r="B121" s="96"/>
      <c r="C121" s="97"/>
      <c r="D121" s="96">
        <v>2956027</v>
      </c>
      <c r="E121" s="48">
        <f t="shared" si="3"/>
        <v>7</v>
      </c>
      <c r="F121" s="49" t="str">
        <f t="shared" si="4"/>
        <v>1342956027</v>
      </c>
      <c r="G121" s="50" t="str">
        <f>IF(F121=F120,"二重","　")</f>
        <v>　</v>
      </c>
      <c r="H121" s="98" t="s">
        <v>1271</v>
      </c>
      <c r="I121" s="87" t="s">
        <v>915</v>
      </c>
      <c r="J121" s="66" t="s">
        <v>44</v>
      </c>
      <c r="K121" s="96" t="s">
        <v>1272</v>
      </c>
      <c r="L121" s="87" t="s">
        <v>1273</v>
      </c>
      <c r="M121" s="96" t="s">
        <v>1110</v>
      </c>
      <c r="N121" s="73" t="s">
        <v>1111</v>
      </c>
      <c r="O121" s="73" t="s">
        <v>1112</v>
      </c>
      <c r="P121" s="96" t="s">
        <v>1274</v>
      </c>
      <c r="Q121" s="96"/>
      <c r="R121" s="99">
        <v>45148</v>
      </c>
      <c r="S121" s="99">
        <v>45200</v>
      </c>
      <c r="T121" s="99">
        <v>45200</v>
      </c>
      <c r="U121" s="97" t="s">
        <v>1275</v>
      </c>
      <c r="V121" s="96"/>
      <c r="W121" s="96"/>
      <c r="X121" s="77" t="s">
        <v>54</v>
      </c>
      <c r="Y121" s="63">
        <v>1</v>
      </c>
      <c r="Z121" s="63">
        <v>1</v>
      </c>
      <c r="AA121" s="110">
        <v>50510</v>
      </c>
      <c r="AB121" s="96"/>
      <c r="AC121" s="96"/>
      <c r="AD121" s="96"/>
      <c r="AE121" s="96"/>
      <c r="AF121" s="96"/>
      <c r="AG121" s="96"/>
      <c r="AH121" s="96"/>
      <c r="AI121" s="96"/>
      <c r="AJ121" s="71"/>
      <c r="AK121" s="71"/>
    </row>
    <row r="122" spans="1:37" ht="27" customHeight="1" x14ac:dyDescent="0.55000000000000004">
      <c r="A122" s="62" t="s">
        <v>1276</v>
      </c>
      <c r="B122" s="13"/>
      <c r="C122" s="97"/>
      <c r="D122" s="96">
        <v>2956035</v>
      </c>
      <c r="E122" s="48">
        <f t="shared" si="3"/>
        <v>7</v>
      </c>
      <c r="F122" s="49" t="str">
        <f t="shared" si="4"/>
        <v>1342956035</v>
      </c>
      <c r="G122" s="50" t="str">
        <f>IF(F122=F121,"二重","　")</f>
        <v>　</v>
      </c>
      <c r="H122" s="98" t="s">
        <v>1277</v>
      </c>
      <c r="I122" s="87" t="s">
        <v>1045</v>
      </c>
      <c r="J122" s="66" t="s">
        <v>44</v>
      </c>
      <c r="K122" s="96" t="s">
        <v>1278</v>
      </c>
      <c r="L122" s="87" t="s">
        <v>1279</v>
      </c>
      <c r="M122" s="96" t="s">
        <v>1139</v>
      </c>
      <c r="N122" s="73" t="s">
        <v>897</v>
      </c>
      <c r="O122" s="73" t="s">
        <v>898</v>
      </c>
      <c r="P122" s="96" t="s">
        <v>1280</v>
      </c>
      <c r="Q122" s="96"/>
      <c r="R122" s="99">
        <v>45140</v>
      </c>
      <c r="S122" s="99">
        <v>45200</v>
      </c>
      <c r="T122" s="99">
        <v>45200</v>
      </c>
      <c r="U122" s="97" t="s">
        <v>1281</v>
      </c>
      <c r="V122" s="96"/>
      <c r="W122" s="96"/>
      <c r="X122" s="70" t="s">
        <v>54</v>
      </c>
      <c r="Y122" s="63">
        <v>1</v>
      </c>
      <c r="Z122" s="63">
        <v>1</v>
      </c>
      <c r="AA122" s="110">
        <v>50510</v>
      </c>
      <c r="AB122" s="96"/>
      <c r="AC122" s="13" t="s">
        <v>902</v>
      </c>
      <c r="AD122" s="96"/>
      <c r="AE122" s="96"/>
      <c r="AF122" s="96"/>
      <c r="AG122" s="96"/>
      <c r="AH122" s="96"/>
      <c r="AI122" s="96"/>
      <c r="AJ122" s="71"/>
      <c r="AK122" s="71"/>
    </row>
    <row r="123" spans="1:37" ht="35.25" customHeight="1" x14ac:dyDescent="0.55000000000000004">
      <c r="A123" s="71" t="s">
        <v>1282</v>
      </c>
      <c r="B123" s="71"/>
      <c r="C123" s="104"/>
      <c r="D123" s="71">
        <v>2956043</v>
      </c>
      <c r="E123" s="71">
        <f t="shared" si="3"/>
        <v>7</v>
      </c>
      <c r="F123" s="71" t="str">
        <f t="shared" si="4"/>
        <v>1342956043</v>
      </c>
      <c r="G123" s="71"/>
      <c r="H123" s="106" t="s">
        <v>1283</v>
      </c>
      <c r="I123" s="107" t="s">
        <v>1284</v>
      </c>
      <c r="J123" s="66" t="s">
        <v>44</v>
      </c>
      <c r="K123" s="71" t="s">
        <v>1285</v>
      </c>
      <c r="L123" s="107" t="s">
        <v>1286</v>
      </c>
      <c r="M123" s="107" t="s">
        <v>1287</v>
      </c>
      <c r="N123" s="108" t="s">
        <v>1288</v>
      </c>
      <c r="O123" s="108" t="s">
        <v>1289</v>
      </c>
      <c r="P123" s="71" t="s">
        <v>1290</v>
      </c>
      <c r="Q123" s="71"/>
      <c r="R123" s="99">
        <v>45203</v>
      </c>
      <c r="S123" s="99">
        <v>45292</v>
      </c>
      <c r="T123" s="99">
        <v>45292</v>
      </c>
      <c r="U123" s="97" t="s">
        <v>1291</v>
      </c>
      <c r="V123" s="71"/>
      <c r="W123" s="71"/>
      <c r="X123" s="70" t="s">
        <v>54</v>
      </c>
      <c r="Y123" s="71">
        <v>1</v>
      </c>
      <c r="Z123" s="71">
        <v>1</v>
      </c>
      <c r="AA123" s="110">
        <v>50601</v>
      </c>
      <c r="AB123" s="71"/>
      <c r="AC123" s="71"/>
      <c r="AD123" s="71"/>
      <c r="AE123" s="71"/>
      <c r="AF123" s="71"/>
      <c r="AG123" s="71"/>
      <c r="AH123" s="71"/>
      <c r="AI123" s="71"/>
      <c r="AJ123" s="71"/>
      <c r="AK123" s="71"/>
    </row>
    <row r="124" spans="1:37" ht="114.75" customHeight="1" x14ac:dyDescent="0.55000000000000004">
      <c r="A124" s="71" t="s">
        <v>1292</v>
      </c>
      <c r="B124" s="107"/>
      <c r="C124" s="104"/>
      <c r="D124" s="105">
        <v>2956142</v>
      </c>
      <c r="E124" s="71">
        <v>7</v>
      </c>
      <c r="F124" s="71" t="str">
        <f t="shared" si="4"/>
        <v>1342956142</v>
      </c>
      <c r="G124" s="71"/>
      <c r="H124" s="106" t="s">
        <v>1293</v>
      </c>
      <c r="I124" s="107" t="s">
        <v>1294</v>
      </c>
      <c r="J124" s="66" t="s">
        <v>44</v>
      </c>
      <c r="K124" s="71" t="s">
        <v>1295</v>
      </c>
      <c r="L124" s="107" t="s">
        <v>1296</v>
      </c>
      <c r="M124" s="107" t="s">
        <v>487</v>
      </c>
      <c r="N124" s="108" t="s">
        <v>488</v>
      </c>
      <c r="O124" s="108" t="s">
        <v>1297</v>
      </c>
      <c r="P124" s="71" t="s">
        <v>1298</v>
      </c>
      <c r="Q124" s="71"/>
      <c r="R124" s="99">
        <v>45322</v>
      </c>
      <c r="S124" s="99">
        <v>45383</v>
      </c>
      <c r="T124" s="99">
        <v>45383</v>
      </c>
      <c r="U124" s="97" t="s">
        <v>1299</v>
      </c>
      <c r="V124" s="71"/>
      <c r="W124" s="71"/>
      <c r="X124" s="70" t="s">
        <v>54</v>
      </c>
      <c r="Y124" s="71">
        <v>1</v>
      </c>
      <c r="Z124" s="71">
        <v>1</v>
      </c>
      <c r="AA124" s="110">
        <v>50604</v>
      </c>
      <c r="AB124" s="71"/>
      <c r="AC124" s="107" t="s">
        <v>1300</v>
      </c>
      <c r="AD124" s="71"/>
      <c r="AE124" s="71"/>
      <c r="AF124" s="71"/>
      <c r="AG124" s="71"/>
      <c r="AH124" s="71"/>
      <c r="AI124" s="71"/>
      <c r="AJ124" s="71"/>
      <c r="AK124" s="71"/>
    </row>
    <row r="125" spans="1:37" ht="35.25" customHeight="1" x14ac:dyDescent="0.55000000000000004">
      <c r="A125" s="71" t="s">
        <v>1301</v>
      </c>
      <c r="B125" s="71"/>
      <c r="C125" s="104"/>
      <c r="D125" s="71">
        <v>2954881</v>
      </c>
      <c r="E125" s="71">
        <f t="shared" ref="E125:E137" si="6">LEN(D125)</f>
        <v>7</v>
      </c>
      <c r="F125" s="71" t="str">
        <f t="shared" si="4"/>
        <v>1342954881</v>
      </c>
      <c r="G125" s="71"/>
      <c r="H125" s="106" t="s">
        <v>1302</v>
      </c>
      <c r="I125" s="107" t="s">
        <v>1303</v>
      </c>
      <c r="J125" s="66" t="s">
        <v>44</v>
      </c>
      <c r="K125" s="71" t="s">
        <v>1304</v>
      </c>
      <c r="L125" s="107" t="s">
        <v>1305</v>
      </c>
      <c r="M125" s="107" t="s">
        <v>1306</v>
      </c>
      <c r="N125" s="108" t="s">
        <v>1177</v>
      </c>
      <c r="O125" s="108" t="s">
        <v>1307</v>
      </c>
      <c r="P125" s="71" t="s">
        <v>1308</v>
      </c>
      <c r="Q125" s="71"/>
      <c r="R125" s="99">
        <v>45497</v>
      </c>
      <c r="S125" s="99">
        <v>45566</v>
      </c>
      <c r="T125" s="99">
        <v>45566</v>
      </c>
      <c r="U125" s="97" t="s">
        <v>1309</v>
      </c>
      <c r="V125" s="71"/>
      <c r="W125" s="71"/>
      <c r="X125" s="70" t="s">
        <v>54</v>
      </c>
      <c r="Y125" s="71">
        <v>1</v>
      </c>
      <c r="Z125" s="71">
        <v>1</v>
      </c>
      <c r="AA125" s="110">
        <v>50610</v>
      </c>
      <c r="AB125" s="71"/>
      <c r="AC125" s="71"/>
      <c r="AD125" s="71"/>
      <c r="AE125" s="71"/>
      <c r="AF125" s="71"/>
      <c r="AG125" s="71"/>
      <c r="AH125" s="71"/>
      <c r="AI125" s="71"/>
      <c r="AJ125" s="71"/>
      <c r="AK125" s="71"/>
    </row>
    <row r="126" spans="1:37" ht="35.25" customHeight="1" x14ac:dyDescent="0.55000000000000004">
      <c r="A126" s="71" t="s">
        <v>1310</v>
      </c>
      <c r="B126" s="13"/>
      <c r="C126" s="104"/>
      <c r="D126" s="71">
        <v>2956134</v>
      </c>
      <c r="E126" s="71">
        <f t="shared" si="6"/>
        <v>7</v>
      </c>
      <c r="F126" s="71" t="str">
        <f t="shared" si="4"/>
        <v>1342956134</v>
      </c>
      <c r="G126" s="71"/>
      <c r="H126" s="106" t="s">
        <v>1311</v>
      </c>
      <c r="I126" s="107" t="s">
        <v>947</v>
      </c>
      <c r="J126" s="66" t="s">
        <v>44</v>
      </c>
      <c r="K126" s="71" t="s">
        <v>1312</v>
      </c>
      <c r="L126" s="107" t="s">
        <v>1313</v>
      </c>
      <c r="M126" s="107" t="s">
        <v>1094</v>
      </c>
      <c r="N126" s="108" t="s">
        <v>1057</v>
      </c>
      <c r="O126" s="108" t="s">
        <v>898</v>
      </c>
      <c r="P126" s="71" t="s">
        <v>1314</v>
      </c>
      <c r="Q126" s="71"/>
      <c r="R126" s="99">
        <v>45503</v>
      </c>
      <c r="S126" s="99">
        <v>45566</v>
      </c>
      <c r="T126" s="99">
        <v>45566</v>
      </c>
      <c r="U126" s="97" t="s">
        <v>1309</v>
      </c>
      <c r="V126" s="71"/>
      <c r="W126" s="71"/>
      <c r="X126" s="70" t="s">
        <v>54</v>
      </c>
      <c r="Y126" s="71">
        <v>1</v>
      </c>
      <c r="Z126" s="71">
        <v>1</v>
      </c>
      <c r="AA126" s="110">
        <v>50610</v>
      </c>
      <c r="AB126" s="71"/>
      <c r="AC126" s="13" t="s">
        <v>902</v>
      </c>
      <c r="AD126" s="71"/>
      <c r="AE126" s="71"/>
      <c r="AF126" s="71"/>
      <c r="AG126" s="71"/>
      <c r="AH126" s="71"/>
      <c r="AI126" s="71"/>
      <c r="AJ126" s="71"/>
      <c r="AK126" s="71"/>
    </row>
    <row r="127" spans="1:37" ht="35.25" customHeight="1" x14ac:dyDescent="0.55000000000000004">
      <c r="A127" s="71" t="s">
        <v>1315</v>
      </c>
      <c r="B127" s="96"/>
      <c r="C127" s="104"/>
      <c r="D127" s="105">
        <v>2956183</v>
      </c>
      <c r="E127" s="71">
        <f t="shared" si="6"/>
        <v>7</v>
      </c>
      <c r="F127" s="71" t="str">
        <f t="shared" si="4"/>
        <v>1342956183</v>
      </c>
      <c r="G127" s="71"/>
      <c r="H127" s="111" t="s">
        <v>1316</v>
      </c>
      <c r="I127" s="107" t="s">
        <v>915</v>
      </c>
      <c r="J127" s="66" t="s">
        <v>44</v>
      </c>
      <c r="K127" s="112" t="s">
        <v>1317</v>
      </c>
      <c r="L127" s="106" t="s">
        <v>1318</v>
      </c>
      <c r="M127" s="113" t="s">
        <v>1319</v>
      </c>
      <c r="N127" s="108" t="s">
        <v>915</v>
      </c>
      <c r="O127" s="114" t="s">
        <v>1317</v>
      </c>
      <c r="P127" s="105" t="s">
        <v>1320</v>
      </c>
      <c r="Q127" s="71"/>
      <c r="R127" s="99">
        <v>45537</v>
      </c>
      <c r="S127" s="99">
        <v>45658</v>
      </c>
      <c r="T127" s="99">
        <v>45658</v>
      </c>
      <c r="U127" s="115" t="s">
        <v>1321</v>
      </c>
      <c r="V127" s="71"/>
      <c r="W127" s="71"/>
      <c r="X127" s="70" t="s">
        <v>54</v>
      </c>
      <c r="Y127" s="71">
        <v>1</v>
      </c>
      <c r="Z127" s="71">
        <v>1</v>
      </c>
      <c r="AA127" s="110">
        <v>50701</v>
      </c>
      <c r="AB127" s="71"/>
      <c r="AC127" s="71"/>
      <c r="AD127" s="71"/>
      <c r="AE127" s="71"/>
      <c r="AF127" s="71"/>
      <c r="AG127" s="71"/>
      <c r="AH127" s="71"/>
      <c r="AI127" s="71"/>
      <c r="AJ127" s="71"/>
      <c r="AK127" s="71"/>
    </row>
    <row r="128" spans="1:37" ht="35.25" customHeight="1" x14ac:dyDescent="0.55000000000000004">
      <c r="A128" s="71" t="s">
        <v>1322</v>
      </c>
      <c r="B128" s="96"/>
      <c r="C128" s="104"/>
      <c r="D128" s="105">
        <v>2955193</v>
      </c>
      <c r="E128" s="71">
        <f t="shared" si="6"/>
        <v>7</v>
      </c>
      <c r="F128" s="71" t="str">
        <f t="shared" si="4"/>
        <v>1342955193</v>
      </c>
      <c r="G128" s="71"/>
      <c r="H128" s="116" t="s">
        <v>1323</v>
      </c>
      <c r="I128" s="106" t="s">
        <v>1324</v>
      </c>
      <c r="J128" s="66" t="s">
        <v>44</v>
      </c>
      <c r="K128" s="117" t="s">
        <v>1325</v>
      </c>
      <c r="L128" s="106" t="s">
        <v>1326</v>
      </c>
      <c r="M128" s="118" t="s">
        <v>1327</v>
      </c>
      <c r="N128" s="108" t="s">
        <v>311</v>
      </c>
      <c r="O128" s="119" t="s">
        <v>1328</v>
      </c>
      <c r="P128" s="105" t="s">
        <v>1329</v>
      </c>
      <c r="Q128" s="71"/>
      <c r="R128" s="99">
        <v>45596</v>
      </c>
      <c r="S128" s="99">
        <v>45658</v>
      </c>
      <c r="T128" s="99">
        <v>45658</v>
      </c>
      <c r="U128" s="115" t="s">
        <v>1321</v>
      </c>
      <c r="V128" s="71"/>
      <c r="W128" s="71"/>
      <c r="X128" s="70" t="s">
        <v>54</v>
      </c>
      <c r="Y128" s="71">
        <v>1</v>
      </c>
      <c r="Z128" s="71">
        <v>1</v>
      </c>
      <c r="AA128" s="110">
        <v>50701</v>
      </c>
      <c r="AB128" s="71"/>
      <c r="AC128" s="71"/>
      <c r="AD128" s="71"/>
      <c r="AE128" s="71"/>
      <c r="AF128" s="71"/>
      <c r="AG128" s="71"/>
      <c r="AH128" s="71"/>
      <c r="AI128" s="71"/>
      <c r="AJ128" s="71"/>
      <c r="AK128" s="71"/>
    </row>
    <row r="129" spans="1:37" ht="43.5" customHeight="1" x14ac:dyDescent="0.55000000000000004">
      <c r="A129" s="71" t="s">
        <v>1330</v>
      </c>
      <c r="B129" s="13"/>
      <c r="C129" s="104"/>
      <c r="D129" s="105">
        <v>2956175</v>
      </c>
      <c r="E129" s="71">
        <f t="shared" si="6"/>
        <v>7</v>
      </c>
      <c r="F129" s="71" t="str">
        <f t="shared" si="4"/>
        <v>1342956175</v>
      </c>
      <c r="G129" s="71"/>
      <c r="H129" s="116" t="s">
        <v>1331</v>
      </c>
      <c r="I129" s="106" t="s">
        <v>1332</v>
      </c>
      <c r="J129" s="66" t="s">
        <v>44</v>
      </c>
      <c r="K129" s="117" t="s">
        <v>1333</v>
      </c>
      <c r="L129" s="106" t="s">
        <v>1334</v>
      </c>
      <c r="M129" s="118" t="s">
        <v>1335</v>
      </c>
      <c r="N129" s="108" t="s">
        <v>941</v>
      </c>
      <c r="O129" s="120" t="s">
        <v>1336</v>
      </c>
      <c r="P129" s="105" t="s">
        <v>1337</v>
      </c>
      <c r="Q129" s="87" t="s">
        <v>1338</v>
      </c>
      <c r="R129" s="99">
        <v>45603</v>
      </c>
      <c r="S129" s="99">
        <v>45658</v>
      </c>
      <c r="T129" s="99">
        <v>45658</v>
      </c>
      <c r="U129" s="115" t="s">
        <v>1321</v>
      </c>
      <c r="V129" s="71"/>
      <c r="W129" s="71"/>
      <c r="X129" s="70" t="s">
        <v>54</v>
      </c>
      <c r="Y129" s="71">
        <v>1</v>
      </c>
      <c r="Z129" s="71">
        <v>1</v>
      </c>
      <c r="AA129" s="110">
        <v>50701</v>
      </c>
      <c r="AB129" s="71"/>
      <c r="AC129" s="71"/>
      <c r="AD129" s="71"/>
      <c r="AE129" s="71"/>
      <c r="AF129" s="71"/>
      <c r="AG129" s="71"/>
      <c r="AH129" s="71"/>
      <c r="AI129" s="71"/>
      <c r="AJ129" s="71"/>
      <c r="AK129" s="71"/>
    </row>
    <row r="130" spans="1:37" ht="35.25" customHeight="1" x14ac:dyDescent="0.55000000000000004">
      <c r="A130" s="71" t="s">
        <v>1339</v>
      </c>
      <c r="B130" s="96"/>
      <c r="C130" s="104"/>
      <c r="D130" s="105">
        <v>2956191</v>
      </c>
      <c r="E130" s="71">
        <f t="shared" si="6"/>
        <v>7</v>
      </c>
      <c r="F130" s="71" t="str">
        <f t="shared" si="4"/>
        <v>1342956191</v>
      </c>
      <c r="G130" s="71"/>
      <c r="H130" s="121" t="s">
        <v>1340</v>
      </c>
      <c r="I130" s="106" t="s">
        <v>144</v>
      </c>
      <c r="J130" s="66" t="s">
        <v>44</v>
      </c>
      <c r="K130" s="122" t="s">
        <v>1341</v>
      </c>
      <c r="L130" s="106" t="s">
        <v>1342</v>
      </c>
      <c r="M130" s="118" t="s">
        <v>1343</v>
      </c>
      <c r="N130" s="108" t="s">
        <v>1344</v>
      </c>
      <c r="O130" s="123" t="s">
        <v>1345</v>
      </c>
      <c r="P130" s="105" t="s">
        <v>1346</v>
      </c>
      <c r="Q130" s="71"/>
      <c r="R130" s="99">
        <v>45637</v>
      </c>
      <c r="S130" s="99">
        <v>45748</v>
      </c>
      <c r="T130" s="99">
        <v>45748</v>
      </c>
      <c r="U130" s="115" t="s">
        <v>1347</v>
      </c>
      <c r="V130" s="71"/>
      <c r="W130" s="71"/>
      <c r="X130" s="70" t="s">
        <v>54</v>
      </c>
      <c r="Y130" s="71">
        <v>1</v>
      </c>
      <c r="Z130" s="71">
        <v>1</v>
      </c>
      <c r="AA130" s="110">
        <v>50704</v>
      </c>
      <c r="AB130" s="71"/>
      <c r="AC130" s="71"/>
      <c r="AD130" s="71"/>
      <c r="AE130" s="71"/>
      <c r="AF130" s="71"/>
      <c r="AG130" s="71"/>
      <c r="AH130" s="71"/>
      <c r="AI130" s="71"/>
      <c r="AJ130" s="71"/>
      <c r="AK130" s="71"/>
    </row>
    <row r="131" spans="1:37" ht="35.25" customHeight="1" x14ac:dyDescent="0.55000000000000004">
      <c r="A131" s="71" t="s">
        <v>1348</v>
      </c>
      <c r="B131" s="96"/>
      <c r="C131" s="104"/>
      <c r="D131" s="105">
        <v>2956126</v>
      </c>
      <c r="E131" s="71">
        <f t="shared" si="6"/>
        <v>7</v>
      </c>
      <c r="F131" s="71" t="str">
        <f t="shared" si="4"/>
        <v>1342956126</v>
      </c>
      <c r="G131" s="71"/>
      <c r="H131" s="121" t="s">
        <v>1349</v>
      </c>
      <c r="I131" s="106" t="s">
        <v>915</v>
      </c>
      <c r="J131" s="66" t="s">
        <v>44</v>
      </c>
      <c r="K131" s="117" t="s">
        <v>1350</v>
      </c>
      <c r="L131" s="106" t="s">
        <v>1351</v>
      </c>
      <c r="M131" s="118" t="s">
        <v>1352</v>
      </c>
      <c r="N131" s="108" t="s">
        <v>1353</v>
      </c>
      <c r="O131" s="124" t="s">
        <v>1354</v>
      </c>
      <c r="P131" s="105" t="s">
        <v>1355</v>
      </c>
      <c r="Q131" s="71"/>
      <c r="R131" s="99">
        <v>45645</v>
      </c>
      <c r="S131" s="99">
        <v>45748</v>
      </c>
      <c r="T131" s="99">
        <v>45748</v>
      </c>
      <c r="U131" s="115" t="s">
        <v>1347</v>
      </c>
      <c r="V131" s="71"/>
      <c r="W131" s="71"/>
      <c r="X131" s="70" t="s">
        <v>54</v>
      </c>
      <c r="Y131" s="71">
        <v>1</v>
      </c>
      <c r="Z131" s="71">
        <v>1</v>
      </c>
      <c r="AA131" s="110">
        <v>50704</v>
      </c>
      <c r="AB131" s="71"/>
      <c r="AC131" s="71"/>
      <c r="AD131" s="71"/>
      <c r="AE131" s="71"/>
      <c r="AF131" s="71"/>
      <c r="AG131" s="71"/>
      <c r="AH131" s="71"/>
      <c r="AI131" s="71"/>
      <c r="AJ131" s="71"/>
      <c r="AK131" s="71"/>
    </row>
    <row r="132" spans="1:37" ht="35.25" customHeight="1" x14ac:dyDescent="0.55000000000000004">
      <c r="A132" s="71" t="s">
        <v>1356</v>
      </c>
      <c r="B132" s="96"/>
      <c r="C132" s="104"/>
      <c r="D132" s="105">
        <v>2956209</v>
      </c>
      <c r="E132" s="71">
        <f t="shared" si="6"/>
        <v>7</v>
      </c>
      <c r="F132" s="71" t="str">
        <f t="shared" ref="F132:F137" si="7">IF(E132=6,"1340"&amp;D132,"134"&amp;D132)</f>
        <v>1342956209</v>
      </c>
      <c r="G132" s="71"/>
      <c r="H132" s="121" t="s">
        <v>1357</v>
      </c>
      <c r="I132" s="106" t="s">
        <v>972</v>
      </c>
      <c r="J132" s="66" t="s">
        <v>44</v>
      </c>
      <c r="K132" s="125" t="s">
        <v>1358</v>
      </c>
      <c r="L132" s="106" t="s">
        <v>1359</v>
      </c>
      <c r="M132" s="126" t="s">
        <v>1360</v>
      </c>
      <c r="N132" s="108" t="s">
        <v>667</v>
      </c>
      <c r="O132" s="124" t="s">
        <v>1361</v>
      </c>
      <c r="P132" s="105" t="s">
        <v>1362</v>
      </c>
      <c r="Q132" s="71"/>
      <c r="R132" s="99">
        <v>45747</v>
      </c>
      <c r="S132" s="99">
        <v>45839</v>
      </c>
      <c r="T132" s="99">
        <v>45839</v>
      </c>
      <c r="U132" s="115" t="s">
        <v>1363</v>
      </c>
      <c r="V132" s="71"/>
      <c r="W132" s="71"/>
      <c r="X132" s="70" t="s">
        <v>54</v>
      </c>
      <c r="Y132" s="71">
        <v>1</v>
      </c>
      <c r="Z132" s="71">
        <v>1</v>
      </c>
      <c r="AA132" s="110">
        <v>50707</v>
      </c>
      <c r="AB132" s="71"/>
      <c r="AC132" s="71"/>
      <c r="AD132" s="71"/>
      <c r="AE132" s="71"/>
      <c r="AF132" s="71"/>
      <c r="AG132" s="71"/>
      <c r="AH132" s="71"/>
      <c r="AI132" s="71"/>
      <c r="AJ132" s="71"/>
      <c r="AK132" s="71"/>
    </row>
    <row r="133" spans="1:37" ht="40.5" customHeight="1" x14ac:dyDescent="0.55000000000000004">
      <c r="A133" s="71" t="s">
        <v>1364</v>
      </c>
      <c r="B133" s="13"/>
      <c r="C133" s="104"/>
      <c r="D133" s="105">
        <v>2956274</v>
      </c>
      <c r="E133" s="71">
        <f t="shared" si="6"/>
        <v>7</v>
      </c>
      <c r="F133" s="71" t="str">
        <f t="shared" si="7"/>
        <v>1342956274</v>
      </c>
      <c r="G133" s="71"/>
      <c r="H133" s="121" t="s">
        <v>1365</v>
      </c>
      <c r="I133" s="106" t="s">
        <v>148</v>
      </c>
      <c r="J133" s="66" t="s">
        <v>44</v>
      </c>
      <c r="K133" s="125" t="s">
        <v>1366</v>
      </c>
      <c r="L133" s="106" t="s">
        <v>1367</v>
      </c>
      <c r="M133" s="126" t="s">
        <v>1368</v>
      </c>
      <c r="N133" s="108" t="s">
        <v>1369</v>
      </c>
      <c r="O133" s="124" t="s">
        <v>1370</v>
      </c>
      <c r="P133" s="105" t="s">
        <v>1371</v>
      </c>
      <c r="Q133" s="87" t="s">
        <v>1372</v>
      </c>
      <c r="R133" s="99">
        <v>45965</v>
      </c>
      <c r="S133" s="99">
        <v>46023</v>
      </c>
      <c r="T133" s="99">
        <v>46023</v>
      </c>
      <c r="U133" s="115" t="s">
        <v>1373</v>
      </c>
      <c r="V133" s="71"/>
      <c r="W133" s="71"/>
      <c r="X133" s="70" t="s">
        <v>54</v>
      </c>
      <c r="Y133" s="71">
        <v>1</v>
      </c>
      <c r="Z133" s="71">
        <v>1</v>
      </c>
      <c r="AA133" s="110">
        <v>50801</v>
      </c>
      <c r="AB133" s="71"/>
      <c r="AC133" s="71"/>
      <c r="AD133" s="71"/>
      <c r="AE133" s="71"/>
      <c r="AF133" s="71"/>
      <c r="AG133" s="71"/>
      <c r="AH133" s="71"/>
      <c r="AI133" s="71"/>
      <c r="AJ133" s="71"/>
      <c r="AK133" s="71"/>
    </row>
    <row r="134" spans="1:37" ht="40.5" customHeight="1" x14ac:dyDescent="0.55000000000000004">
      <c r="A134" s="71" t="s">
        <v>1374</v>
      </c>
      <c r="B134" s="13"/>
      <c r="C134" s="104"/>
      <c r="D134" s="105">
        <v>2956258</v>
      </c>
      <c r="E134" s="71">
        <f t="shared" si="6"/>
        <v>7</v>
      </c>
      <c r="F134" s="71" t="str">
        <f t="shared" si="7"/>
        <v>1342956258</v>
      </c>
      <c r="G134" s="71"/>
      <c r="H134" s="121" t="s">
        <v>1375</v>
      </c>
      <c r="I134" s="106" t="s">
        <v>1162</v>
      </c>
      <c r="J134" s="66" t="s">
        <v>44</v>
      </c>
      <c r="K134" s="125" t="s">
        <v>1376</v>
      </c>
      <c r="L134" s="106" t="s">
        <v>1377</v>
      </c>
      <c r="M134" s="126" t="s">
        <v>1378</v>
      </c>
      <c r="N134" s="108" t="s">
        <v>616</v>
      </c>
      <c r="O134" s="124" t="s">
        <v>1379</v>
      </c>
      <c r="P134" s="105" t="s">
        <v>1380</v>
      </c>
      <c r="Q134" s="87"/>
      <c r="R134" s="99">
        <v>45995</v>
      </c>
      <c r="S134" s="99">
        <v>46113</v>
      </c>
      <c r="T134" s="99">
        <v>46113</v>
      </c>
      <c r="U134" s="115" t="s">
        <v>1381</v>
      </c>
      <c r="V134" s="71"/>
      <c r="W134" s="71"/>
      <c r="X134" s="70" t="s">
        <v>54</v>
      </c>
      <c r="Y134" s="71">
        <v>1</v>
      </c>
      <c r="Z134" s="71">
        <v>1</v>
      </c>
      <c r="AA134" s="110">
        <v>50804</v>
      </c>
      <c r="AB134" s="71"/>
      <c r="AC134" s="71"/>
      <c r="AD134" s="71"/>
      <c r="AE134" s="71"/>
      <c r="AF134" s="71"/>
      <c r="AG134" s="71"/>
      <c r="AH134" s="71"/>
      <c r="AI134" s="71"/>
      <c r="AJ134" s="71"/>
      <c r="AK134" s="71"/>
    </row>
    <row r="135" spans="1:37" ht="40.5" customHeight="1" x14ac:dyDescent="0.55000000000000004">
      <c r="A135" s="71" t="s">
        <v>1382</v>
      </c>
      <c r="B135" s="13"/>
      <c r="C135" s="104"/>
      <c r="D135" s="105">
        <v>2956308</v>
      </c>
      <c r="E135" s="71">
        <f t="shared" si="6"/>
        <v>7</v>
      </c>
      <c r="F135" s="71" t="str">
        <f t="shared" si="7"/>
        <v>1342956308</v>
      </c>
      <c r="G135" s="71"/>
      <c r="H135" s="121" t="s">
        <v>1383</v>
      </c>
      <c r="I135" s="106" t="s">
        <v>667</v>
      </c>
      <c r="J135" s="66" t="s">
        <v>44</v>
      </c>
      <c r="K135" s="125" t="s">
        <v>1384</v>
      </c>
      <c r="L135" s="106" t="s">
        <v>1385</v>
      </c>
      <c r="M135" s="126" t="s">
        <v>1386</v>
      </c>
      <c r="N135" s="108" t="s">
        <v>1387</v>
      </c>
      <c r="O135" s="124" t="s">
        <v>1388</v>
      </c>
      <c r="P135" s="105" t="s">
        <v>1389</v>
      </c>
      <c r="Q135" s="87"/>
      <c r="R135" s="99">
        <v>46055</v>
      </c>
      <c r="S135" s="99">
        <v>46113</v>
      </c>
      <c r="T135" s="99">
        <v>46113</v>
      </c>
      <c r="U135" s="115" t="s">
        <v>1381</v>
      </c>
      <c r="V135" s="71"/>
      <c r="W135" s="71"/>
      <c r="X135" s="70" t="s">
        <v>54</v>
      </c>
      <c r="Y135" s="71">
        <v>1</v>
      </c>
      <c r="Z135" s="71">
        <v>1</v>
      </c>
      <c r="AA135" s="110">
        <v>50804</v>
      </c>
      <c r="AB135" s="71"/>
      <c r="AC135" s="71"/>
      <c r="AD135" s="71"/>
      <c r="AE135" s="71"/>
      <c r="AF135" s="71"/>
      <c r="AG135" s="71"/>
      <c r="AH135" s="71"/>
      <c r="AI135" s="71"/>
      <c r="AJ135" s="71"/>
      <c r="AK135" s="71"/>
    </row>
    <row r="136" spans="1:37" ht="40.5" customHeight="1" x14ac:dyDescent="0.55000000000000004">
      <c r="A136" s="71" t="s">
        <v>1390</v>
      </c>
      <c r="B136" s="13"/>
      <c r="C136" s="104"/>
      <c r="D136" s="105">
        <v>2956316</v>
      </c>
      <c r="E136" s="71">
        <f t="shared" si="6"/>
        <v>7</v>
      </c>
      <c r="F136" s="71" t="str">
        <f t="shared" si="7"/>
        <v>1342956316</v>
      </c>
      <c r="G136" s="71"/>
      <c r="H136" s="121" t="s">
        <v>1391</v>
      </c>
      <c r="I136" s="106" t="s">
        <v>684</v>
      </c>
      <c r="J136" s="66" t="s">
        <v>44</v>
      </c>
      <c r="K136" s="125" t="s">
        <v>1392</v>
      </c>
      <c r="L136" s="106" t="s">
        <v>1393</v>
      </c>
      <c r="M136" s="126" t="s">
        <v>1394</v>
      </c>
      <c r="N136" s="108" t="s">
        <v>1395</v>
      </c>
      <c r="O136" s="124" t="s">
        <v>1396</v>
      </c>
      <c r="P136" s="105" t="s">
        <v>1397</v>
      </c>
      <c r="Q136" s="87"/>
      <c r="R136" s="99">
        <v>46059</v>
      </c>
      <c r="S136" s="99">
        <v>46113</v>
      </c>
      <c r="T136" s="99">
        <v>46113</v>
      </c>
      <c r="U136" s="115" t="s">
        <v>1381</v>
      </c>
      <c r="V136" s="71"/>
      <c r="W136" s="71"/>
      <c r="X136" s="70" t="s">
        <v>54</v>
      </c>
      <c r="Y136" s="71">
        <v>1</v>
      </c>
      <c r="Z136" s="71">
        <v>1</v>
      </c>
      <c r="AA136" s="110">
        <v>50804</v>
      </c>
      <c r="AB136" s="71"/>
      <c r="AC136" s="71"/>
      <c r="AD136" s="71"/>
      <c r="AE136" s="71"/>
      <c r="AF136" s="71"/>
      <c r="AG136" s="71"/>
      <c r="AH136" s="71"/>
      <c r="AI136" s="71"/>
      <c r="AJ136" s="71"/>
      <c r="AK136" s="71"/>
    </row>
    <row r="137" spans="1:37" ht="40.5" customHeight="1" x14ac:dyDescent="0.55000000000000004">
      <c r="A137" s="71" t="s">
        <v>1398</v>
      </c>
      <c r="B137" s="13"/>
      <c r="C137" s="104"/>
      <c r="D137" s="105">
        <v>2956324</v>
      </c>
      <c r="E137" s="71">
        <f t="shared" si="6"/>
        <v>7</v>
      </c>
      <c r="F137" s="71" t="str">
        <f t="shared" si="7"/>
        <v>1342956324</v>
      </c>
      <c r="G137" s="71"/>
      <c r="H137" s="121" t="s">
        <v>1399</v>
      </c>
      <c r="I137" s="106" t="s">
        <v>947</v>
      </c>
      <c r="J137" s="66" t="s">
        <v>44</v>
      </c>
      <c r="K137" s="125" t="s">
        <v>1400</v>
      </c>
      <c r="L137" s="106" t="s">
        <v>1401</v>
      </c>
      <c r="M137" s="126" t="s">
        <v>1402</v>
      </c>
      <c r="N137" s="108" t="s">
        <v>1403</v>
      </c>
      <c r="O137" s="124" t="s">
        <v>1404</v>
      </c>
      <c r="P137" s="105" t="s">
        <v>1405</v>
      </c>
      <c r="Q137" s="87"/>
      <c r="R137" s="99">
        <v>46059</v>
      </c>
      <c r="S137" s="99">
        <v>46113</v>
      </c>
      <c r="T137" s="99">
        <v>46113</v>
      </c>
      <c r="U137" s="115" t="s">
        <v>1381</v>
      </c>
      <c r="V137" s="71"/>
      <c r="W137" s="71"/>
      <c r="X137" s="70" t="s">
        <v>54</v>
      </c>
      <c r="Y137" s="71">
        <v>1</v>
      </c>
      <c r="Z137" s="71">
        <v>1</v>
      </c>
      <c r="AA137" s="110">
        <v>50804</v>
      </c>
      <c r="AB137" s="71"/>
      <c r="AC137" s="71"/>
      <c r="AD137" s="71"/>
      <c r="AE137" s="71"/>
      <c r="AF137" s="71"/>
      <c r="AG137" s="71"/>
      <c r="AH137" s="71"/>
      <c r="AI137" s="71"/>
      <c r="AJ137" s="71"/>
      <c r="AK137" s="71"/>
    </row>
    <row r="140" spans="1:37" x14ac:dyDescent="0.55000000000000004">
      <c r="I140" s="129"/>
    </row>
    <row r="141" spans="1:37" x14ac:dyDescent="0.55000000000000004">
      <c r="I141" s="129"/>
    </row>
    <row r="142" spans="1:37" x14ac:dyDescent="0.55000000000000004">
      <c r="I142" s="129"/>
    </row>
  </sheetData>
  <autoFilter ref="A3:AK137" xr:uid="{00000000-0001-0000-0100-000000000000}"/>
  <dataConsolidate/>
  <mergeCells count="26">
    <mergeCell ref="AJ2:AJ3"/>
    <mergeCell ref="AK2:AK3"/>
    <mergeCell ref="AD2:AD3"/>
    <mergeCell ref="AE2:AE3"/>
    <mergeCell ref="AF2:AF3"/>
    <mergeCell ref="AG2:AG3"/>
    <mergeCell ref="AH2:AH3"/>
    <mergeCell ref="AI2:AI3"/>
    <mergeCell ref="X2:X3"/>
    <mergeCell ref="Y2:Y3"/>
    <mergeCell ref="Z2:Z3"/>
    <mergeCell ref="AA2:AA3"/>
    <mergeCell ref="AB2:AB3"/>
    <mergeCell ref="AC2:AC3"/>
    <mergeCell ref="Q2:Q3"/>
    <mergeCell ref="R2:R3"/>
    <mergeCell ref="T2:T3"/>
    <mergeCell ref="U2:U3"/>
    <mergeCell ref="V2:V3"/>
    <mergeCell ref="W2:W3"/>
    <mergeCell ref="A2:A3"/>
    <mergeCell ref="B2:B3"/>
    <mergeCell ref="C2:C3"/>
    <mergeCell ref="D2:L2"/>
    <mergeCell ref="M2:O2"/>
    <mergeCell ref="P2:P3"/>
  </mergeCells>
  <phoneticPr fontId="4"/>
  <dataValidations count="1">
    <dataValidation imeMode="halfAlpha" allowBlank="1" showInputMessage="1" showErrorMessage="1" sqref="E121:G122 E120:F120 E4:G119" xr:uid="{26D226A7-D063-415E-AD4E-D503C49EA81A}"/>
  </dataValidations>
  <printOptions horizontalCentered="1"/>
  <pageMargins left="0.23622047244094491" right="0.23622047244094491" top="0.15748031496062992" bottom="0.15748031496062992" header="0" footer="0"/>
  <pageSetup paperSize="9" scale="31" fitToHeight="0" orientation="landscape" horizontalDpi="4294967293" r:id="rId1"/>
  <headerFooter>
    <oddFooter>&amp;P / &amp;N ページ</oddFooter>
  </headerFooter>
  <rowBreaks count="2" manualBreakCount="2">
    <brk id="52" max="16383" man="1"/>
    <brk id="9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薬局</vt:lpstr>
      <vt:lpstr>薬局!Print_Area</vt:lpstr>
      <vt:lpstr>薬局!Print_Titles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H.H</dc:creator>
  <cp:lastModifiedBy>H.H</cp:lastModifiedBy>
  <dcterms:created xsi:type="dcterms:W3CDTF">2026-07-09T13:36:27Z</dcterms:created>
  <dcterms:modified xsi:type="dcterms:W3CDTF">2026-07-09T13:37:15Z</dcterms:modified>
</cp:coreProperties>
</file>