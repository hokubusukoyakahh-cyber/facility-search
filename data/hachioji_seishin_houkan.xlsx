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_hyakutake\Desktop\"/>
    </mc:Choice>
  </mc:AlternateContent>
  <xr:revisionPtr revIDLastSave="0" documentId="8_{E9ACA605-EDC9-457F-A757-3CF3D204F623}" xr6:coauthVersionLast="47" xr6:coauthVersionMax="47" xr10:uidLastSave="{00000000-0000-0000-0000-000000000000}"/>
  <bookViews>
    <workbookView xWindow="-120" yWindow="-120" windowWidth="20730" windowHeight="11760" xr2:uid="{AFD93521-46DE-44D8-B4C9-8906DEA8D8B8}"/>
  </bookViews>
  <sheets>
    <sheet name="訪問看護" sheetId="1" r:id="rId1"/>
  </sheets>
  <definedNames>
    <definedName name="_xlnm._FilterDatabase" localSheetId="0" hidden="1">訪問看護!$A$3:$AF$50</definedName>
    <definedName name="_xlnm.Print_Area" localSheetId="0">訪問看護!$A$1:$AE$45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F26" i="1" s="1"/>
  <c r="F25" i="1"/>
  <c r="E25" i="1"/>
  <c r="E24" i="1"/>
  <c r="F24" i="1" s="1"/>
  <c r="E23" i="1"/>
  <c r="F23" i="1" s="1"/>
  <c r="E22" i="1"/>
  <c r="F22" i="1" s="1"/>
  <c r="F21" i="1"/>
  <c r="E21" i="1"/>
  <c r="E20" i="1"/>
  <c r="F20" i="1" s="1"/>
  <c r="E19" i="1"/>
  <c r="F19" i="1" s="1"/>
  <c r="E18" i="1"/>
  <c r="F18" i="1" s="1"/>
  <c r="F17" i="1"/>
  <c r="E17" i="1"/>
  <c r="E16" i="1"/>
  <c r="F16" i="1" s="1"/>
  <c r="E15" i="1"/>
  <c r="F15" i="1" s="1"/>
  <c r="E14" i="1"/>
  <c r="F14" i="1" s="1"/>
  <c r="F13" i="1"/>
  <c r="E13" i="1"/>
  <c r="E12" i="1"/>
  <c r="F12" i="1" s="1"/>
  <c r="E11" i="1"/>
  <c r="F11" i="1" s="1"/>
  <c r="E10" i="1"/>
  <c r="F10" i="1" s="1"/>
  <c r="F9" i="1"/>
  <c r="E9" i="1"/>
  <c r="E8" i="1"/>
  <c r="F8" i="1" s="1"/>
  <c r="E7" i="1"/>
  <c r="F7" i="1" s="1"/>
  <c r="E6" i="1"/>
  <c r="F6" i="1" s="1"/>
  <c r="F5" i="1"/>
  <c r="E5" i="1"/>
  <c r="E4" i="1"/>
  <c r="F4" i="1" s="1"/>
</calcChain>
</file>

<file path=xl/sharedStrings.xml><?xml version="1.0" encoding="utf-8"?>
<sst xmlns="http://schemas.openxmlformats.org/spreadsheetml/2006/main" count="560" uniqueCount="420">
  <si>
    <t>指定自立支援医療機関（育成・更生医療）指定一覧【訪問看護事業者等】（令和8年10月1日現在）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ホウモン</t>
    </rPh>
    <rPh sb="26" eb="28">
      <t>カンゴ</t>
    </rPh>
    <rPh sb="28" eb="30">
      <t>ジギョウ</t>
    </rPh>
    <rPh sb="30" eb="31">
      <t>シャ</t>
    </rPh>
    <rPh sb="31" eb="32">
      <t>トウ</t>
    </rPh>
    <phoneticPr fontId="5"/>
  </si>
  <si>
    <t>有効期限到来により失効(～平成年月日）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5" eb="16">
      <t>ネン</t>
    </rPh>
    <rPh sb="16" eb="17">
      <t>ガツ</t>
    </rPh>
    <rPh sb="17" eb="18">
      <t>ヒ</t>
    </rPh>
    <phoneticPr fontId="5"/>
  </si>
  <si>
    <t>【令和5年8月1日分から】
変更届（旧事項→新事項、変更日）</t>
    <rPh sb="1" eb="3">
      <t>レイワ</t>
    </rPh>
    <rPh sb="4" eb="5">
      <t>ネン</t>
    </rPh>
    <rPh sb="6" eb="7">
      <t>ガツ</t>
    </rPh>
    <rPh sb="8" eb="9">
      <t>ヒ</t>
    </rPh>
    <rPh sb="9" eb="10">
      <t>ブン</t>
    </rPh>
    <phoneticPr fontId="6"/>
  </si>
  <si>
    <t>No.</t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</si>
  <si>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5"/>
  </si>
  <si>
    <t>廃止、
辞退</t>
    <rPh sb="0" eb="2">
      <t>ハイシ</t>
    </rPh>
    <rPh sb="4" eb="6">
      <t>ジタイ</t>
    </rPh>
    <phoneticPr fontId="5"/>
  </si>
  <si>
    <t>訪問看護ステーション等</t>
    <rPh sb="0" eb="2">
      <t>ホウモン</t>
    </rPh>
    <rPh sb="2" eb="4">
      <t>カンゴ</t>
    </rPh>
    <rPh sb="10" eb="11">
      <t>トウ</t>
    </rPh>
    <phoneticPr fontId="5"/>
  </si>
  <si>
    <t>訪問看護事業者等</t>
    <rPh sb="0" eb="2">
      <t>ホウモン</t>
    </rPh>
    <rPh sb="2" eb="4">
      <t>カンゴ</t>
    </rPh>
    <rPh sb="4" eb="6">
      <t>ジギョウ</t>
    </rPh>
    <rPh sb="6" eb="7">
      <t>シャ</t>
    </rPh>
    <rPh sb="7" eb="8">
      <t>トウ</t>
    </rPh>
    <phoneticPr fontId="5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</si>
  <si>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5"/>
  </si>
  <si>
    <t>指定年月日</t>
    <rPh sb="0" eb="2">
      <t>シテイ</t>
    </rPh>
    <rPh sb="2" eb="5">
      <t>ネンガッピ</t>
    </rPh>
    <phoneticPr fontId="5"/>
  </si>
  <si>
    <t>都発番号</t>
    <rPh sb="0" eb="1">
      <t>ト</t>
    </rPh>
    <rPh sb="1" eb="2">
      <t>ハツ</t>
    </rPh>
    <rPh sb="2" eb="3">
      <t>バン</t>
    </rPh>
    <rPh sb="3" eb="4">
      <t>ゴウ</t>
    </rPh>
    <phoneticPr fontId="5"/>
  </si>
  <si>
    <t>更新年月日</t>
    <rPh sb="0" eb="2">
      <t>コウシン</t>
    </rPh>
    <rPh sb="2" eb="5">
      <t>ネンガッピ</t>
    </rPh>
    <phoneticPr fontId="5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</si>
  <si>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5"/>
  </si>
  <si>
    <t>育成医療</t>
    <rPh sb="0" eb="2">
      <t>イクセイ</t>
    </rPh>
    <rPh sb="2" eb="4">
      <t>イリョウ</t>
    </rPh>
    <phoneticPr fontId="5"/>
  </si>
  <si>
    <t>更生医療</t>
    <rPh sb="0" eb="2">
      <t>コウセイ</t>
    </rPh>
    <rPh sb="2" eb="4">
      <t>イリョウ</t>
    </rPh>
    <phoneticPr fontId="5"/>
  </si>
  <si>
    <t>指定年月</t>
    <rPh sb="0" eb="2">
      <t>シテイ</t>
    </rPh>
    <rPh sb="2" eb="4">
      <t>ネンゲツ</t>
    </rPh>
    <phoneticPr fontId="5"/>
  </si>
  <si>
    <t>廃止・
辞退・
休止年月</t>
    <rPh sb="0" eb="2">
      <t>ハイシ</t>
    </rPh>
    <rPh sb="4" eb="6">
      <t>ジタイ</t>
    </rPh>
    <rPh sb="8" eb="10">
      <t>キュウシ</t>
    </rPh>
    <rPh sb="10" eb="12">
      <t>ネンゲツ</t>
    </rPh>
    <phoneticPr fontId="5"/>
  </si>
  <si>
    <t>変　更　①</t>
    <rPh sb="0" eb="1">
      <t>ヘン</t>
    </rPh>
    <rPh sb="2" eb="3">
      <t>サラ</t>
    </rPh>
    <phoneticPr fontId="5"/>
  </si>
  <si>
    <t>変　更　②</t>
    <rPh sb="0" eb="1">
      <t>ヘン</t>
    </rPh>
    <rPh sb="2" eb="3">
      <t>サラ</t>
    </rPh>
    <phoneticPr fontId="5"/>
  </si>
  <si>
    <t>変　更　③</t>
    <rPh sb="0" eb="1">
      <t>ヘン</t>
    </rPh>
    <rPh sb="2" eb="3">
      <t>サラ</t>
    </rPh>
    <phoneticPr fontId="5"/>
  </si>
  <si>
    <t>変　更　④</t>
    <rPh sb="0" eb="1">
      <t>ヘン</t>
    </rPh>
    <rPh sb="2" eb="3">
      <t>サラ</t>
    </rPh>
    <phoneticPr fontId="5"/>
  </si>
  <si>
    <t>変　更　⑤</t>
    <rPh sb="0" eb="1">
      <t>ヘン</t>
    </rPh>
    <rPh sb="2" eb="3">
      <t>サラ</t>
    </rPh>
    <phoneticPr fontId="5"/>
  </si>
  <si>
    <t>コード</t>
  </si>
  <si>
    <t>都13/訪問看6</t>
    <rPh sb="0" eb="1">
      <t>ト</t>
    </rPh>
    <rPh sb="4" eb="6">
      <t>ホウモン</t>
    </rPh>
    <rPh sb="6" eb="7">
      <t>ミ</t>
    </rPh>
    <phoneticPr fontId="5"/>
  </si>
  <si>
    <t>重複</t>
    <rPh sb="0" eb="2">
      <t>チョウフク</t>
    </rPh>
    <phoneticPr fontId="5"/>
  </si>
  <si>
    <t>名　　称</t>
    <rPh sb="0" eb="1">
      <t>メイ</t>
    </rPh>
    <rPh sb="3" eb="4">
      <t>ショウ</t>
    </rPh>
    <phoneticPr fontId="5"/>
  </si>
  <si>
    <t>郵便番号</t>
    <rPh sb="0" eb="2">
      <t>ユウビン</t>
    </rPh>
    <rPh sb="2" eb="4">
      <t>バンゴウ</t>
    </rPh>
    <phoneticPr fontId="5"/>
  </si>
  <si>
    <t>区市町村名</t>
    <rPh sb="0" eb="4">
      <t>クシチョウソン</t>
    </rPh>
    <rPh sb="4" eb="5">
      <t>メイ</t>
    </rPh>
    <phoneticPr fontId="5"/>
  </si>
  <si>
    <t>所　在　地</t>
    <rPh sb="0" eb="1">
      <t>ショ</t>
    </rPh>
    <rPh sb="2" eb="3">
      <t>ザイ</t>
    </rPh>
    <rPh sb="4" eb="5">
      <t>チ</t>
    </rPh>
    <phoneticPr fontId="5"/>
  </si>
  <si>
    <t>電話番号</t>
    <rPh sb="0" eb="2">
      <t>デンワ</t>
    </rPh>
    <rPh sb="2" eb="4">
      <t>バンゴウ</t>
    </rPh>
    <phoneticPr fontId="5"/>
  </si>
  <si>
    <t>氏 名 又 は 名 称</t>
  </si>
  <si>
    <t>郵便番号</t>
    <rPh sb="0" eb="4">
      <t>ユウビンバンゴウ</t>
    </rPh>
    <phoneticPr fontId="5"/>
  </si>
  <si>
    <t>（みなし指定）</t>
    <rPh sb="4" eb="6">
      <t>シテイ</t>
    </rPh>
    <phoneticPr fontId="5"/>
  </si>
  <si>
    <t>3-1</t>
  </si>
  <si>
    <t>城山訪問看護ステーション</t>
    <rPh sb="0" eb="2">
      <t>シロヤマ</t>
    </rPh>
    <rPh sb="2" eb="4">
      <t>ホウモン</t>
    </rPh>
    <rPh sb="4" eb="6">
      <t>カンゴ</t>
    </rPh>
    <phoneticPr fontId="5"/>
  </si>
  <si>
    <t>193-0826</t>
  </si>
  <si>
    <t>24八王子市</t>
    <rPh sb="2" eb="6">
      <t>ハチオウジシ</t>
    </rPh>
    <phoneticPr fontId="5"/>
  </si>
  <si>
    <t>八王子市元八王子町２－１１６２－１</t>
    <rPh sb="0" eb="4">
      <t>ハチオウジシ</t>
    </rPh>
    <rPh sb="4" eb="5">
      <t>モト</t>
    </rPh>
    <rPh sb="5" eb="8">
      <t>ハチオウジ</t>
    </rPh>
    <rPh sb="8" eb="9">
      <t>マチ</t>
    </rPh>
    <phoneticPr fontId="5"/>
  </si>
  <si>
    <t>0426-64-2161</t>
  </si>
  <si>
    <t>八王子保健生活協同組合</t>
    <rPh sb="0" eb="3">
      <t>ハチオウジ</t>
    </rPh>
    <rPh sb="3" eb="5">
      <t>ホケン</t>
    </rPh>
    <rPh sb="5" eb="7">
      <t>セイカツ</t>
    </rPh>
    <rPh sb="7" eb="9">
      <t>キョウドウ</t>
    </rPh>
    <rPh sb="9" eb="11">
      <t>クミアイ</t>
    </rPh>
    <phoneticPr fontId="5"/>
  </si>
  <si>
    <t>193-0826</t>
    <phoneticPr fontId="5"/>
  </si>
  <si>
    <t>東京都八王子市元八王子町３－２８７２－１</t>
    <rPh sb="0" eb="3">
      <t>トウキョウト</t>
    </rPh>
    <rPh sb="7" eb="11">
      <t>モトハチオウジ</t>
    </rPh>
    <rPh sb="11" eb="12">
      <t>マチ</t>
    </rPh>
    <phoneticPr fontId="5"/>
  </si>
  <si>
    <t>21福保障計第1104号</t>
    <rPh sb="2" eb="3">
      <t>フク</t>
    </rPh>
    <rPh sb="3" eb="6">
      <t>ホショウケイ</t>
    </rPh>
    <rPh sb="6" eb="7">
      <t>ダイ</t>
    </rPh>
    <rPh sb="11" eb="12">
      <t>ゴウ</t>
    </rPh>
    <phoneticPr fontId="5"/>
  </si>
  <si>
    <t>3八福障収第1125号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</si>
  <si>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5"/>
  </si>
  <si>
    <t>3-2</t>
  </si>
  <si>
    <t>健生会きょうりつ訪問看護ステーション</t>
    <rPh sb="0" eb="2">
      <t>タケオ</t>
    </rPh>
    <rPh sb="2" eb="3">
      <t>カイ</t>
    </rPh>
    <phoneticPr fontId="6"/>
  </si>
  <si>
    <t>192-0082</t>
    <phoneticPr fontId="6"/>
  </si>
  <si>
    <t>八王子市東町２－３共立ビル３階</t>
    <rPh sb="4" eb="6">
      <t>アズマチョウ</t>
    </rPh>
    <rPh sb="9" eb="11">
      <t>キョウリツ</t>
    </rPh>
    <rPh sb="14" eb="15">
      <t>カイ</t>
    </rPh>
    <phoneticPr fontId="6"/>
  </si>
  <si>
    <t>042-645-6373</t>
  </si>
  <si>
    <t>社会医療法人社団健生会</t>
    <rPh sb="0" eb="6">
      <t>シャカイイリョウホウジン</t>
    </rPh>
    <rPh sb="6" eb="8">
      <t>シャダン</t>
    </rPh>
    <rPh sb="8" eb="10">
      <t>タケオ</t>
    </rPh>
    <rPh sb="10" eb="11">
      <t>カイ</t>
    </rPh>
    <phoneticPr fontId="5"/>
  </si>
  <si>
    <t>190-0022</t>
    <phoneticPr fontId="5"/>
  </si>
  <si>
    <t>東京都立川市錦町1丁目16-15</t>
    <rPh sb="0" eb="3">
      <t>トウキョウト</t>
    </rPh>
    <rPh sb="3" eb="5">
      <t>タチカワ</t>
    </rPh>
    <rPh sb="5" eb="6">
      <t>シ</t>
    </rPh>
    <rPh sb="6" eb="8">
      <t>ニシキチョウ</t>
    </rPh>
    <rPh sb="9" eb="11">
      <t>チョウメ</t>
    </rPh>
    <phoneticPr fontId="5"/>
  </si>
  <si>
    <t>18福保障計第1343号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</si>
  <si>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6八福障第5389号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</si>
  <si>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変更届（訪看名称（きょうりつ北野訪問看護ステーション→、所在地八王子市北野町５５７－１９メゾン根来１０２）、～平成26年12月1日）</t>
    <rPh sb="0" eb="2">
      <t>ヘンコウ</t>
    </rPh>
    <rPh sb="2" eb="3">
      <t>トド</t>
    </rPh>
    <rPh sb="14" eb="16">
      <t>キタノ</t>
    </rPh>
    <rPh sb="16" eb="18">
      <t>ホウモン</t>
    </rPh>
    <rPh sb="18" eb="20">
      <t>カンゴ</t>
    </rPh>
    <rPh sb="28" eb="31">
      <t>ショザイチ</t>
    </rPh>
    <rPh sb="31" eb="35">
      <t>ハチオウジシ</t>
    </rPh>
    <rPh sb="35" eb="38">
      <t>キタノマチ</t>
    </rPh>
    <rPh sb="47" eb="48">
      <t>ネ</t>
    </rPh>
    <rPh sb="48" eb="49">
      <t>ク</t>
    </rPh>
    <rPh sb="55" eb="57">
      <t>ヘイセイ</t>
    </rPh>
    <rPh sb="59" eb="60">
      <t>ネン</t>
    </rPh>
    <rPh sb="62" eb="63">
      <t>ガツ</t>
    </rPh>
    <rPh sb="64" eb="65">
      <t>ニチ</t>
    </rPh>
    <phoneticPr fontId="5"/>
  </si>
  <si>
    <t>変更届（開設者氏名変更（高柳　新→大石　学））～令和3年9月1日</t>
    <rPh sb="12" eb="14">
      <t>タカヤナギ</t>
    </rPh>
    <rPh sb="15" eb="16">
      <t>シン</t>
    </rPh>
    <rPh sb="17" eb="19">
      <t>オオイシ</t>
    </rPh>
    <rPh sb="20" eb="21">
      <t>マナ</t>
    </rPh>
    <phoneticPr fontId="5"/>
  </si>
  <si>
    <t>変更届（訪看名称（健生会きょうりつ訪問看護ステーション→）、法人（医療法人財団共立医療会、八王子市東町２－３→）、理事長（大石学→）、～令和4年11月30日）</t>
    <rPh sb="0" eb="2">
      <t>ヘンコウ</t>
    </rPh>
    <rPh sb="2" eb="3">
      <t>トド</t>
    </rPh>
    <rPh sb="9" eb="11">
      <t>タケオ</t>
    </rPh>
    <rPh sb="11" eb="12">
      <t>カイ</t>
    </rPh>
    <rPh sb="17" eb="19">
      <t>ホウモン</t>
    </rPh>
    <rPh sb="19" eb="21">
      <t>カンゴ</t>
    </rPh>
    <rPh sb="30" eb="32">
      <t>ホウジン</t>
    </rPh>
    <rPh sb="57" eb="60">
      <t>リジチョウ</t>
    </rPh>
    <rPh sb="61" eb="63">
      <t>オオイシ</t>
    </rPh>
    <rPh sb="63" eb="64">
      <t>マナブ</t>
    </rPh>
    <rPh sb="68" eb="70">
      <t>レイワ</t>
    </rPh>
    <rPh sb="71" eb="72">
      <t>ネン</t>
    </rPh>
    <rPh sb="74" eb="75">
      <t>ガツ</t>
    </rPh>
    <rPh sb="77" eb="78">
      <t>ニチ</t>
    </rPh>
    <phoneticPr fontId="5"/>
  </si>
  <si>
    <t>変更届（コード(7192404)、～令和4年11月30日）</t>
    <rPh sb="0" eb="2">
      <t>ヘンコウ</t>
    </rPh>
    <rPh sb="2" eb="3">
      <t>トド</t>
    </rPh>
    <rPh sb="18" eb="20">
      <t>レイワ</t>
    </rPh>
    <rPh sb="21" eb="22">
      <t>ネン</t>
    </rPh>
    <rPh sb="24" eb="25">
      <t>ガツ</t>
    </rPh>
    <rPh sb="27" eb="28">
      <t>ニチ</t>
    </rPh>
    <phoneticPr fontId="5"/>
  </si>
  <si>
    <t>変更届（開設者の住所：立川市錦町1-23-5、→立川市錦町1-16-15、職員の定数：8名（常勤3名、非常勤5名、理学療法士0名→常勤2名、非常勤7名、理学療法士1名）、変更日：令和6年9月1日）</t>
    <rPh sb="0" eb="3">
      <t>ヘンコウトドケ</t>
    </rPh>
    <rPh sb="4" eb="7">
      <t>カイセツシャ</t>
    </rPh>
    <rPh sb="8" eb="10">
      <t>ジュウショ</t>
    </rPh>
    <rPh sb="11" eb="14">
      <t>タチカワシ</t>
    </rPh>
    <rPh sb="14" eb="16">
      <t>ニシキチョウ</t>
    </rPh>
    <rPh sb="24" eb="27">
      <t>タチカワシ</t>
    </rPh>
    <rPh sb="27" eb="29">
      <t>ニシキチョウ</t>
    </rPh>
    <rPh sb="37" eb="39">
      <t>ショクイン</t>
    </rPh>
    <rPh sb="40" eb="42">
      <t>テイスウ</t>
    </rPh>
    <rPh sb="44" eb="45">
      <t>メイ</t>
    </rPh>
    <rPh sb="46" eb="48">
      <t>ジョウキン</t>
    </rPh>
    <rPh sb="49" eb="50">
      <t>メイ</t>
    </rPh>
    <rPh sb="51" eb="54">
      <t>ヒジョウキン</t>
    </rPh>
    <rPh sb="55" eb="56">
      <t>メイ</t>
    </rPh>
    <rPh sb="57" eb="62">
      <t>リガクリョウホウシ</t>
    </rPh>
    <rPh sb="63" eb="64">
      <t>メイ</t>
    </rPh>
    <rPh sb="85" eb="88">
      <t>ヘンコウビ</t>
    </rPh>
    <rPh sb="89" eb="91">
      <t>レイワ</t>
    </rPh>
    <rPh sb="92" eb="93">
      <t>ネン</t>
    </rPh>
    <rPh sb="94" eb="95">
      <t>ガツ</t>
    </rPh>
    <rPh sb="95" eb="97">
      <t>ツイタチ</t>
    </rPh>
    <phoneticPr fontId="5"/>
  </si>
  <si>
    <t>変更届（理事長：草島　健二→山田　秀樹、役員の変更、変更日：令和7年10月1日）</t>
    <rPh sb="0" eb="3">
      <t>ヘンコウトドケ</t>
    </rPh>
    <rPh sb="4" eb="7">
      <t>リジチョウ</t>
    </rPh>
    <rPh sb="8" eb="10">
      <t>クサシマ</t>
    </rPh>
    <rPh sb="11" eb="13">
      <t>ケンジ</t>
    </rPh>
    <rPh sb="14" eb="16">
      <t>ヤマダ</t>
    </rPh>
    <rPh sb="17" eb="19">
      <t>ヒデキ</t>
    </rPh>
    <rPh sb="20" eb="22">
      <t>ヤクイン</t>
    </rPh>
    <rPh sb="23" eb="25">
      <t>ヘンコウ</t>
    </rPh>
    <rPh sb="26" eb="29">
      <t>ヘンコウビ</t>
    </rPh>
    <rPh sb="30" eb="32">
      <t>レイワ</t>
    </rPh>
    <rPh sb="33" eb="34">
      <t>ネン</t>
    </rPh>
    <rPh sb="36" eb="37">
      <t>ガツ</t>
    </rPh>
    <rPh sb="37" eb="39">
      <t>ツイタチ</t>
    </rPh>
    <phoneticPr fontId="5"/>
  </si>
  <si>
    <t>3-3</t>
  </si>
  <si>
    <t>一般社団法人八王子市医師会立訪問看護ステーション</t>
    <rPh sb="0" eb="2">
      <t>イッパン</t>
    </rPh>
    <rPh sb="2" eb="4">
      <t>シャダン</t>
    </rPh>
    <rPh sb="4" eb="6">
      <t>ホウジン</t>
    </rPh>
    <phoneticPr fontId="6"/>
  </si>
  <si>
    <t>192-0066</t>
    <phoneticPr fontId="6"/>
  </si>
  <si>
    <t>八王子市本町１３－２</t>
    <rPh sb="4" eb="5">
      <t>ホン</t>
    </rPh>
    <phoneticPr fontId="6"/>
  </si>
  <si>
    <t>042-620-7631</t>
    <phoneticPr fontId="6"/>
  </si>
  <si>
    <t>一般社団法人八王子市医師会</t>
    <rPh sb="0" eb="2">
      <t>イッパン</t>
    </rPh>
    <phoneticPr fontId="5"/>
  </si>
  <si>
    <t>東京都八王子市本町１３－２</t>
    <rPh sb="0" eb="3">
      <t>トウキョウト</t>
    </rPh>
    <rPh sb="7" eb="9">
      <t>ホンチョウ</t>
    </rPh>
    <phoneticPr fontId="5"/>
  </si>
  <si>
    <t>6八福障第6318号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</si>
  <si>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変更届（開設者名称（社団法人八王子市医師会(ｺｰド変更無)→、～平成24年３月31日）</t>
    <rPh sb="25" eb="27">
      <t>ヘンコウ</t>
    </rPh>
    <rPh sb="27" eb="28">
      <t>ナ</t>
    </rPh>
    <phoneticPr fontId="5"/>
  </si>
  <si>
    <t>変更届（訪看名称（八王子市医師会立明神町訪問看護ステーション）→電話番号（042-642-0330）→、開設者・訪看所在地（八王子市明神町1-13-10）→、～平成28年12月1日）</t>
    <rPh sb="4" eb="5">
      <t>ホウ</t>
    </rPh>
    <rPh sb="5" eb="6">
      <t>カン</t>
    </rPh>
    <rPh sb="6" eb="8">
      <t>メイショウ</t>
    </rPh>
    <rPh sb="9" eb="13">
      <t>ハチオウジシ</t>
    </rPh>
    <rPh sb="13" eb="16">
      <t>イシカイ</t>
    </rPh>
    <rPh sb="16" eb="17">
      <t>リツ</t>
    </rPh>
    <rPh sb="17" eb="20">
      <t>ミョウジンチョウ</t>
    </rPh>
    <rPh sb="20" eb="22">
      <t>ホウモン</t>
    </rPh>
    <rPh sb="22" eb="24">
      <t>カンゴ</t>
    </rPh>
    <rPh sb="32" eb="34">
      <t>デンワ</t>
    </rPh>
    <rPh sb="34" eb="36">
      <t>バンゴウ</t>
    </rPh>
    <rPh sb="52" eb="55">
      <t>カイセツシャ</t>
    </rPh>
    <rPh sb="56" eb="57">
      <t>ホウ</t>
    </rPh>
    <rPh sb="57" eb="58">
      <t>カン</t>
    </rPh>
    <rPh sb="58" eb="61">
      <t>ショザイチ</t>
    </rPh>
    <rPh sb="62" eb="66">
      <t>ハチオウジシ</t>
    </rPh>
    <rPh sb="66" eb="69">
      <t>ミョウジンチョウ</t>
    </rPh>
    <phoneticPr fontId="5"/>
  </si>
  <si>
    <t>変更届（会長：石塚　太一→鳥羽　正浩、変更日：令和4年6月23日）</t>
    <rPh sb="4" eb="6">
      <t>カイチョウ</t>
    </rPh>
    <rPh sb="7" eb="9">
      <t>イシヅカ</t>
    </rPh>
    <rPh sb="10" eb="12">
      <t>タイチ</t>
    </rPh>
    <rPh sb="13" eb="15">
      <t>トバ</t>
    </rPh>
    <rPh sb="16" eb="18">
      <t>マサヒロシ</t>
    </rPh>
    <rPh sb="19" eb="22">
      <t>ヘンコウビ</t>
    </rPh>
    <rPh sb="23" eb="25">
      <t>レイワ</t>
    </rPh>
    <rPh sb="26" eb="27">
      <t>ネン</t>
    </rPh>
    <rPh sb="28" eb="29">
      <t>ガツ</t>
    </rPh>
    <rPh sb="31" eb="32">
      <t>ニチ</t>
    </rPh>
    <phoneticPr fontId="5"/>
  </si>
  <si>
    <t>3-4</t>
  </si>
  <si>
    <t>○</t>
  </si>
  <si>
    <t>たちばなスマイルケア訪問看護ステーション</t>
    <rPh sb="10" eb="12">
      <t>ホウモン</t>
    </rPh>
    <rPh sb="12" eb="14">
      <t>カンゴ</t>
    </rPh>
    <phoneticPr fontId="5"/>
  </si>
  <si>
    <t>193-0801</t>
  </si>
  <si>
    <t>八王子市川口町１７２９－２</t>
    <rPh sb="0" eb="4">
      <t>ハチオウジシ</t>
    </rPh>
    <rPh sb="4" eb="7">
      <t>カワグチチョウ</t>
    </rPh>
    <phoneticPr fontId="5"/>
  </si>
  <si>
    <t>042-654-6802</t>
  </si>
  <si>
    <t>有限会社たちばな</t>
    <phoneticPr fontId="5"/>
  </si>
  <si>
    <t>19福保障計第969号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</si>
  <si>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有効期限到来により失効(～平成25年11月30日）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20" eb="21">
      <t>ガツ</t>
    </rPh>
    <rPh sb="23" eb="24">
      <t>ヒ</t>
    </rPh>
    <phoneticPr fontId="5"/>
  </si>
  <si>
    <t>3-5</t>
  </si>
  <si>
    <t>訪問看護ステーションいるか</t>
    <rPh sb="0" eb="2">
      <t>ホウモン</t>
    </rPh>
    <rPh sb="2" eb="4">
      <t>カンゴ</t>
    </rPh>
    <phoneticPr fontId="5"/>
  </si>
  <si>
    <t>192-0364</t>
  </si>
  <si>
    <t>八王子市南大沢１－１８－１１　シュガーハイツ南大沢Ａ１０３</t>
    <rPh sb="0" eb="4">
      <t>ハチオウジシ</t>
    </rPh>
    <rPh sb="4" eb="5">
      <t>ミナミ</t>
    </rPh>
    <rPh sb="5" eb="7">
      <t>オオサワ</t>
    </rPh>
    <rPh sb="22" eb="23">
      <t>ミナミ</t>
    </rPh>
    <rPh sb="23" eb="25">
      <t>オオサワ</t>
    </rPh>
    <phoneticPr fontId="5"/>
  </si>
  <si>
    <t>042-659-2213</t>
  </si>
  <si>
    <t>医療法人社団永生会</t>
    <rPh sb="0" eb="2">
      <t>イリョウ</t>
    </rPh>
    <rPh sb="2" eb="4">
      <t>ホウジン</t>
    </rPh>
    <rPh sb="4" eb="6">
      <t>シャダン</t>
    </rPh>
    <rPh sb="6" eb="8">
      <t>オガオ</t>
    </rPh>
    <rPh sb="8" eb="9">
      <t>カイ</t>
    </rPh>
    <phoneticPr fontId="5"/>
  </si>
  <si>
    <t>20福保障計第881号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</si>
  <si>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廃止届（平成23年７月１日廃止、人員不足）</t>
  </si>
  <si>
    <t>3-6</t>
  </si>
  <si>
    <t>城山みなみ訪問看護ステーション</t>
    <rPh sb="0" eb="2">
      <t>シロヤマ</t>
    </rPh>
    <rPh sb="5" eb="7">
      <t>ホウモン</t>
    </rPh>
    <rPh sb="7" eb="9">
      <t>カンゴ</t>
    </rPh>
    <phoneticPr fontId="5"/>
  </si>
  <si>
    <t>193-0844</t>
  </si>
  <si>
    <t>八王子市高尾町１６１０</t>
    <rPh sb="0" eb="4">
      <t>ハチオウジシ</t>
    </rPh>
    <rPh sb="4" eb="7">
      <t>タカオチョウ</t>
    </rPh>
    <phoneticPr fontId="5"/>
  </si>
  <si>
    <t>042-667-0666</t>
  </si>
  <si>
    <t>3八福障収第1143号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</si>
  <si>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3-7</t>
  </si>
  <si>
    <t>○</t>
    <phoneticPr fontId="6"/>
  </si>
  <si>
    <t>ニチイケアセンター西八王子訪問看護ステーション</t>
  </si>
  <si>
    <t>192-0056</t>
  </si>
  <si>
    <t>八王子市追分町５－９</t>
    <phoneticPr fontId="6"/>
  </si>
  <si>
    <t>042-655-0241</t>
  </si>
  <si>
    <t>株式会社ニチイ学館</t>
  </si>
  <si>
    <t>東京都中央区日本橋箱崎町１７－１　箱崎リーゼントビル３階</t>
    <rPh sb="0" eb="3">
      <t>トウキョウト</t>
    </rPh>
    <phoneticPr fontId="5"/>
  </si>
  <si>
    <t>25福保障計第598号</t>
  </si>
  <si>
    <t>休止届（平成28年5月1日休止、人員不足）</t>
    <rPh sb="0" eb="2">
      <t>キュウシ</t>
    </rPh>
    <rPh sb="2" eb="3">
      <t>トドケ</t>
    </rPh>
    <rPh sb="4" eb="6">
      <t>ヘイセイ</t>
    </rPh>
    <rPh sb="8" eb="9">
      <t>ネン</t>
    </rPh>
    <rPh sb="10" eb="11">
      <t>ガツ</t>
    </rPh>
    <rPh sb="12" eb="13">
      <t>ニチ</t>
    </rPh>
    <rPh sb="13" eb="15">
      <t>キュウシ</t>
    </rPh>
    <rPh sb="16" eb="18">
      <t>ジンイン</t>
    </rPh>
    <rPh sb="18" eb="20">
      <t>ブソク</t>
    </rPh>
    <phoneticPr fontId="6"/>
  </si>
  <si>
    <t>廃止届（平成29年4月30日廃止、人員不足）</t>
    <rPh sb="0" eb="2">
      <t>ハイシ</t>
    </rPh>
    <rPh sb="2" eb="3">
      <t>トドケ</t>
    </rPh>
    <rPh sb="14" eb="16">
      <t>ハイシ</t>
    </rPh>
    <phoneticPr fontId="6"/>
  </si>
  <si>
    <t>3-8</t>
  </si>
  <si>
    <t>ミモザ在宅療養支援ステーション京王堀之内</t>
    <rPh sb="3" eb="5">
      <t>ザイタク</t>
    </rPh>
    <rPh sb="5" eb="7">
      <t>リョウヨウ</t>
    </rPh>
    <rPh sb="7" eb="9">
      <t>シエン</t>
    </rPh>
    <rPh sb="15" eb="20">
      <t>ケイオウホリノウチ</t>
    </rPh>
    <phoneticPr fontId="5"/>
  </si>
  <si>
    <t>192-0355</t>
  </si>
  <si>
    <t>八王子市堀之内３－３５－１１</t>
    <rPh sb="0" eb="4">
      <t>ハチオウジシ</t>
    </rPh>
    <rPh sb="4" eb="7">
      <t>ホリノウチ</t>
    </rPh>
    <phoneticPr fontId="5"/>
  </si>
  <si>
    <t>042-678-7554</t>
  </si>
  <si>
    <t>ミモザ株式会社</t>
  </si>
  <si>
    <t>140-0004</t>
  </si>
  <si>
    <t>東京都品川区南品川２－２－５</t>
    <rPh sb="0" eb="9">
      <t>１４０－０００４</t>
    </rPh>
    <phoneticPr fontId="5"/>
  </si>
  <si>
    <t>25福保障計第894号</t>
  </si>
  <si>
    <t>変更届（訪看名称（ミモザ白寿庵京王堀之内訪問看護→）、～平成26年３月31日）</t>
    <rPh sb="0" eb="2">
      <t>ヘンコウ</t>
    </rPh>
    <rPh sb="2" eb="3">
      <t>トド</t>
    </rPh>
    <rPh sb="28" eb="30">
      <t>ヘイセイ</t>
    </rPh>
    <rPh sb="32" eb="33">
      <t>ネン</t>
    </rPh>
    <rPh sb="34" eb="35">
      <t>ガツ</t>
    </rPh>
    <rPh sb="37" eb="38">
      <t>ニチ</t>
    </rPh>
    <phoneticPr fontId="5"/>
  </si>
  <si>
    <t>3-9</t>
  </si>
  <si>
    <t>ケアーズ八王子訪問看護リハビリステーション</t>
    <rPh sb="4" eb="7">
      <t>ハチオウジ</t>
    </rPh>
    <phoneticPr fontId="5"/>
  </si>
  <si>
    <t>192-0084</t>
  </si>
  <si>
    <t>八王子市三崎町４－１４　関口ビル３０３</t>
    <rPh sb="0" eb="4">
      <t>ハチオウジシ</t>
    </rPh>
    <rPh sb="4" eb="7">
      <t>ミサキマチ</t>
    </rPh>
    <rPh sb="12" eb="14">
      <t>セキグチ</t>
    </rPh>
    <phoneticPr fontId="5"/>
  </si>
  <si>
    <t>042-649-6039</t>
  </si>
  <si>
    <t>柳屋食品株式会社</t>
    <rPh sb="0" eb="2">
      <t>ヤナギヤ</t>
    </rPh>
    <rPh sb="2" eb="4">
      <t>ショクヒン</t>
    </rPh>
    <rPh sb="4" eb="8">
      <t>カブシキガイシャ</t>
    </rPh>
    <phoneticPr fontId="5"/>
  </si>
  <si>
    <t>321-4308</t>
  </si>
  <si>
    <t>栃木県真岡市中郷３３９－２</t>
    <rPh sb="0" eb="8">
      <t>３２１－４３０８</t>
    </rPh>
    <phoneticPr fontId="5"/>
  </si>
  <si>
    <t>25福保障計第1898号</t>
  </si>
  <si>
    <t>育成医療・更生医療</t>
  </si>
  <si>
    <t>有効期限到来により失効（～令和２年４月１日）</t>
    <rPh sb="0" eb="2">
      <t>ユウコウ</t>
    </rPh>
    <rPh sb="2" eb="4">
      <t>キゲン</t>
    </rPh>
    <rPh sb="4" eb="6">
      <t>トウライ</t>
    </rPh>
    <rPh sb="9" eb="11">
      <t>シッコウ</t>
    </rPh>
    <rPh sb="13" eb="14">
      <t>レイ</t>
    </rPh>
    <rPh sb="14" eb="15">
      <t>ワ</t>
    </rPh>
    <rPh sb="16" eb="17">
      <t>ネン</t>
    </rPh>
    <rPh sb="18" eb="19">
      <t>ガツ</t>
    </rPh>
    <rPh sb="20" eb="21">
      <t>ニチ</t>
    </rPh>
    <phoneticPr fontId="6"/>
  </si>
  <si>
    <t>3-10</t>
  </si>
  <si>
    <t>こまぎの訪問看護ステーション天馬</t>
    <rPh sb="14" eb="16">
      <t>テンバ</t>
    </rPh>
    <phoneticPr fontId="5"/>
  </si>
  <si>
    <t>八王子市高尾町１５３３－５</t>
    <rPh sb="0" eb="4">
      <t>ハチオウジシ</t>
    </rPh>
    <rPh sb="4" eb="7">
      <t>タカオマチ</t>
    </rPh>
    <phoneticPr fontId="5"/>
  </si>
  <si>
    <t>042-673-3505</t>
  </si>
  <si>
    <t>医療法人財団青溪会</t>
    <rPh sb="0" eb="2">
      <t>イリョウ</t>
    </rPh>
    <rPh sb="2" eb="4">
      <t>ホウジン</t>
    </rPh>
    <rPh sb="4" eb="6">
      <t>ザイダン</t>
    </rPh>
    <rPh sb="6" eb="7">
      <t>アオ</t>
    </rPh>
    <rPh sb="8" eb="9">
      <t>カイ</t>
    </rPh>
    <phoneticPr fontId="5"/>
  </si>
  <si>
    <t>193-8505</t>
  </si>
  <si>
    <t>東京都八王子市裏高尾町２７３</t>
    <rPh sb="0" eb="2">
      <t>トウキョウ</t>
    </rPh>
    <rPh sb="2" eb="3">
      <t>ト</t>
    </rPh>
    <rPh sb="3" eb="7">
      <t>ハチオウジシ</t>
    </rPh>
    <rPh sb="7" eb="8">
      <t>ウラ</t>
    </rPh>
    <rPh sb="8" eb="10">
      <t>タカオ</t>
    </rPh>
    <rPh sb="10" eb="11">
      <t>マチ</t>
    </rPh>
    <phoneticPr fontId="5"/>
  </si>
  <si>
    <t>7八福障第8160号</t>
    <phoneticPr fontId="6"/>
  </si>
  <si>
    <t>3-11</t>
  </si>
  <si>
    <t>あわーず東京八王子訪問看護リハビリステーション</t>
    <rPh sb="4" eb="6">
      <t>トウキョウ</t>
    </rPh>
    <rPh sb="6" eb="9">
      <t>ハチオウジ</t>
    </rPh>
    <rPh sb="9" eb="11">
      <t>ホウモン</t>
    </rPh>
    <rPh sb="11" eb="13">
      <t>カンゴ</t>
    </rPh>
    <phoneticPr fontId="5"/>
  </si>
  <si>
    <t>192-0062</t>
    <phoneticPr fontId="6"/>
  </si>
  <si>
    <t>八王子市大横町１１－４　ＴＫビル１階</t>
    <rPh sb="0" eb="4">
      <t>ハチオウジシ</t>
    </rPh>
    <rPh sb="4" eb="6">
      <t>オオヨコ</t>
    </rPh>
    <rPh sb="6" eb="7">
      <t>マチ</t>
    </rPh>
    <rPh sb="17" eb="18">
      <t>カイ</t>
    </rPh>
    <phoneticPr fontId="5"/>
  </si>
  <si>
    <t>050-6865-5000</t>
  </si>
  <si>
    <t>株式会社あわーず</t>
    <rPh sb="0" eb="2">
      <t>カブシキ</t>
    </rPh>
    <rPh sb="2" eb="4">
      <t>カイシャ</t>
    </rPh>
    <phoneticPr fontId="5"/>
  </si>
  <si>
    <t>163-0023</t>
    <phoneticPr fontId="6"/>
  </si>
  <si>
    <t>新宿区西新宿８丁目３番３２号</t>
    <rPh sb="0" eb="3">
      <t>シンジュクク</t>
    </rPh>
    <rPh sb="3" eb="6">
      <t>ニシシンジュク</t>
    </rPh>
    <rPh sb="7" eb="9">
      <t>チョウメ</t>
    </rPh>
    <rPh sb="10" eb="11">
      <t>バン</t>
    </rPh>
    <rPh sb="13" eb="14">
      <t>ゴウ</t>
    </rPh>
    <phoneticPr fontId="5"/>
  </si>
  <si>
    <t>26福保障計
第651号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</si>
  <si>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8八福障第1893号</t>
    <phoneticPr fontId="6"/>
  </si>
  <si>
    <t>変更届（訪看名称（アワーズ東京訪問看護リハビリステーション(コード変更なし)→、所在地（八王子市千人町１－７－１４→、法人名（株式会社医療看護介護リハビリ生活総合サービスステーション、法人所在地（新宿区住吉町１５－２５）、～令和元年12月1日）</t>
    <rPh sb="0" eb="2">
      <t>ヘンコウ</t>
    </rPh>
    <rPh sb="2" eb="3">
      <t>トド</t>
    </rPh>
    <rPh sb="33" eb="35">
      <t>ヘンコウ</t>
    </rPh>
    <rPh sb="40" eb="43">
      <t>ショザイチ</t>
    </rPh>
    <rPh sb="59" eb="61">
      <t>ホウジン</t>
    </rPh>
    <rPh sb="61" eb="62">
      <t>メイ</t>
    </rPh>
    <rPh sb="92" eb="94">
      <t>ホウジン</t>
    </rPh>
    <rPh sb="94" eb="97">
      <t>ショザイチ</t>
    </rPh>
    <rPh sb="112" eb="113">
      <t>レイ</t>
    </rPh>
    <rPh sb="113" eb="114">
      <t>ワ</t>
    </rPh>
    <rPh sb="114" eb="115">
      <t>モト</t>
    </rPh>
    <rPh sb="115" eb="116">
      <t>ネン</t>
    </rPh>
    <rPh sb="118" eb="119">
      <t>ガツ</t>
    </rPh>
    <rPh sb="120" eb="121">
      <t>ニチ</t>
    </rPh>
    <phoneticPr fontId="5"/>
  </si>
  <si>
    <t>変更届（開設者氏名：代表取締役　　岸本悟→代表取締役　本多　克行、令和8年4月1日）</t>
    <rPh sb="10" eb="15">
      <t>ダイヒョウトリシマリヤク</t>
    </rPh>
    <rPh sb="17" eb="19">
      <t>キシモト</t>
    </rPh>
    <rPh sb="19" eb="20">
      <t>サトル</t>
    </rPh>
    <rPh sb="21" eb="26">
      <t>ダイヒョウトリシマリヤク</t>
    </rPh>
    <rPh sb="27" eb="29">
      <t>ホンダ</t>
    </rPh>
    <rPh sb="30" eb="32">
      <t>カツユキ</t>
    </rPh>
    <phoneticPr fontId="5"/>
  </si>
  <si>
    <t>変更届（開設者住所：新宿区西新宿８丁目３番３２号→新宿区百人町1-22-3新宿ナショナルコート203号、令和7年4月1日）</t>
    <rPh sb="7" eb="9">
      <t>ジュウショ</t>
    </rPh>
    <rPh sb="25" eb="28">
      <t>シンジュクク</t>
    </rPh>
    <rPh sb="28" eb="31">
      <t>ヒャクニンチョウ</t>
    </rPh>
    <rPh sb="37" eb="39">
      <t>シンジュク</t>
    </rPh>
    <rPh sb="50" eb="51">
      <t>ゴウ</t>
    </rPh>
    <phoneticPr fontId="5"/>
  </si>
  <si>
    <t>3-12</t>
  </si>
  <si>
    <t>訪問看護ステーション　メイ</t>
    <rPh sb="0" eb="2">
      <t>ホウモン</t>
    </rPh>
    <rPh sb="2" eb="4">
      <t>カンゴ</t>
    </rPh>
    <phoneticPr fontId="5"/>
  </si>
  <si>
    <t>192-0005</t>
  </si>
  <si>
    <t>八王子市宮下町７０９－７</t>
    <rPh sb="0" eb="4">
      <t>ハチオウジシ</t>
    </rPh>
    <rPh sb="4" eb="6">
      <t>ミヤシタ</t>
    </rPh>
    <rPh sb="6" eb="7">
      <t>マチ</t>
    </rPh>
    <phoneticPr fontId="5"/>
  </si>
  <si>
    <t>042-696-3883</t>
  </si>
  <si>
    <t>有限会社ロングレンジ・ビュー</t>
    <phoneticPr fontId="5"/>
  </si>
  <si>
    <t>192-0081</t>
  </si>
  <si>
    <t>東京都八王子市横山町２３－４－１２０３</t>
    <rPh sb="0" eb="3">
      <t>トウキョウト</t>
    </rPh>
    <rPh sb="3" eb="7">
      <t>ハチオウジシ</t>
    </rPh>
    <rPh sb="7" eb="9">
      <t>ヨコヤマ</t>
    </rPh>
    <rPh sb="9" eb="10">
      <t>チョウ</t>
    </rPh>
    <phoneticPr fontId="5"/>
  </si>
  <si>
    <t>27八福障収第672号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</si>
  <si>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3八福障収第633号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</si>
  <si>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3-13</t>
  </si>
  <si>
    <t>多摩南訪問看護ステーション</t>
    <rPh sb="0" eb="2">
      <t>タマ</t>
    </rPh>
    <rPh sb="2" eb="3">
      <t>ミナミ</t>
    </rPh>
    <rPh sb="3" eb="5">
      <t>ホウモン</t>
    </rPh>
    <rPh sb="5" eb="7">
      <t>カンゴ</t>
    </rPh>
    <phoneticPr fontId="5"/>
  </si>
  <si>
    <t>192-0355</t>
    <phoneticPr fontId="5"/>
  </si>
  <si>
    <t>八王子市堀ノ内3002</t>
    <rPh sb="0" eb="4">
      <t>ハチオウジシ</t>
    </rPh>
    <rPh sb="4" eb="5">
      <t>ホリ</t>
    </rPh>
    <rPh sb="6" eb="7">
      <t>ウチ</t>
    </rPh>
    <phoneticPr fontId="5"/>
  </si>
  <si>
    <t>042-679-0088</t>
    <phoneticPr fontId="5"/>
  </si>
  <si>
    <t>株式会社プラスケアサポート多摩南訪問看護ステーション</t>
    <rPh sb="0" eb="2">
      <t>カブシキ</t>
    </rPh>
    <rPh sb="2" eb="4">
      <t>カイシャ</t>
    </rPh>
    <rPh sb="13" eb="15">
      <t>タマ</t>
    </rPh>
    <rPh sb="15" eb="16">
      <t>ミナミ</t>
    </rPh>
    <rPh sb="16" eb="18">
      <t>ホウモン</t>
    </rPh>
    <rPh sb="18" eb="20">
      <t>カンゴ</t>
    </rPh>
    <phoneticPr fontId="5"/>
  </si>
  <si>
    <t>東京都八王子市堀ノ内3002</t>
    <rPh sb="0" eb="3">
      <t>トウキョウト</t>
    </rPh>
    <rPh sb="3" eb="7">
      <t>ハチオウジシ</t>
    </rPh>
    <rPh sb="7" eb="8">
      <t>ホリ</t>
    </rPh>
    <rPh sb="9" eb="10">
      <t>ウチ</t>
    </rPh>
    <phoneticPr fontId="5"/>
  </si>
  <si>
    <t>27八福障収第276号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</si>
  <si>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3八福障収第625号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</si>
  <si>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変更届（所在地（八王子市越野２５－１１　サンシャインヒルズ１０５→、法人所在地（八王子市越野２５－１１　サンシャインヒルズ１０５）、～平成29年7月3日）</t>
    <rPh sb="0" eb="2">
      <t>ヘンコウ</t>
    </rPh>
    <rPh sb="2" eb="3">
      <t>トド</t>
    </rPh>
    <rPh sb="4" eb="7">
      <t>ショザイチ</t>
    </rPh>
    <rPh sb="34" eb="36">
      <t>ホウジン</t>
    </rPh>
    <rPh sb="36" eb="39">
      <t>ショザイチ</t>
    </rPh>
    <rPh sb="67" eb="69">
      <t>ヘイセイ</t>
    </rPh>
    <rPh sb="71" eb="72">
      <t>ネン</t>
    </rPh>
    <rPh sb="73" eb="74">
      <t>ガツ</t>
    </rPh>
    <rPh sb="75" eb="76">
      <t>ニチ</t>
    </rPh>
    <phoneticPr fontId="5"/>
  </si>
  <si>
    <t>変更届（所在地（八王子市越野２５－１１　サンシャインヒルズ１０５）法人所在地（八王子市越野２５－１１　サンシャインヒルズ１０５）電話番号（042-682-4723）～令和5年4月30日）</t>
    <rPh sb="0" eb="3">
      <t>ヘンコウトドケ</t>
    </rPh>
    <rPh sb="4" eb="7">
      <t>ショザイチ</t>
    </rPh>
    <rPh sb="8" eb="11">
      <t>ハチオウジ</t>
    </rPh>
    <rPh sb="11" eb="12">
      <t>シ</t>
    </rPh>
    <rPh sb="12" eb="14">
      <t>コシノ</t>
    </rPh>
    <rPh sb="33" eb="35">
      <t>ホウジン</t>
    </rPh>
    <rPh sb="35" eb="38">
      <t>ショザイチ</t>
    </rPh>
    <rPh sb="39" eb="42">
      <t>ハチオウジ</t>
    </rPh>
    <rPh sb="42" eb="43">
      <t>シ</t>
    </rPh>
    <rPh sb="43" eb="45">
      <t>コシノ</t>
    </rPh>
    <rPh sb="64" eb="66">
      <t>デンワ</t>
    </rPh>
    <rPh sb="66" eb="68">
      <t>バンゴウ</t>
    </rPh>
    <rPh sb="83" eb="85">
      <t>レイワ</t>
    </rPh>
    <rPh sb="86" eb="87">
      <t>ネン</t>
    </rPh>
    <rPh sb="88" eb="89">
      <t>ガツ</t>
    </rPh>
    <rPh sb="91" eb="92">
      <t>ニチ</t>
    </rPh>
    <phoneticPr fontId="5"/>
  </si>
  <si>
    <t>3-14</t>
  </si>
  <si>
    <t>訪問看護ステーション　和喜愛逢</t>
    <rPh sb="0" eb="2">
      <t>ホウモン</t>
    </rPh>
    <rPh sb="2" eb="4">
      <t>カンゴ</t>
    </rPh>
    <rPh sb="11" eb="13">
      <t>カズヨシ</t>
    </rPh>
    <rPh sb="13" eb="14">
      <t>アイ</t>
    </rPh>
    <rPh sb="14" eb="15">
      <t>アイ</t>
    </rPh>
    <phoneticPr fontId="6"/>
  </si>
  <si>
    <t>193-0833</t>
    <phoneticPr fontId="6"/>
  </si>
  <si>
    <t>八王子市めじろ台１－９－１</t>
    <rPh sb="0" eb="4">
      <t>ハチオウジシ</t>
    </rPh>
    <rPh sb="7" eb="8">
      <t>ダイ</t>
    </rPh>
    <phoneticPr fontId="6"/>
  </si>
  <si>
    <t>042-673-4243</t>
    <phoneticPr fontId="6"/>
  </si>
  <si>
    <t>株式会社介護サービス</t>
    <rPh sb="0" eb="2">
      <t>カブシキ</t>
    </rPh>
    <rPh sb="2" eb="4">
      <t>カイシャ</t>
    </rPh>
    <rPh sb="4" eb="6">
      <t>カイゴ</t>
    </rPh>
    <phoneticPr fontId="6"/>
  </si>
  <si>
    <t>192-0916</t>
    <phoneticPr fontId="6"/>
  </si>
  <si>
    <t>東京都八王子市みなみ野３丁目２２番５号</t>
    <rPh sb="0" eb="3">
      <t>トウキョウト</t>
    </rPh>
    <rPh sb="3" eb="7">
      <t>ハチオウジシ</t>
    </rPh>
    <rPh sb="10" eb="11">
      <t>ノ</t>
    </rPh>
    <rPh sb="12" eb="14">
      <t>チョウメ</t>
    </rPh>
    <rPh sb="16" eb="17">
      <t>バン</t>
    </rPh>
    <rPh sb="18" eb="19">
      <t>ゴウ</t>
    </rPh>
    <phoneticPr fontId="5"/>
  </si>
  <si>
    <t>27八福障収第1012号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5"/>
  </si>
  <si>
    <t>有効期限到来により失効（～令和４年４月１日）</t>
    <phoneticPr fontId="5"/>
  </si>
  <si>
    <t>3-15</t>
  </si>
  <si>
    <t>タツミ訪問看護ステーション　八王子みなみ野</t>
    <rPh sb="3" eb="5">
      <t>ホウモン</t>
    </rPh>
    <rPh sb="5" eb="7">
      <t>カンゴ</t>
    </rPh>
    <rPh sb="14" eb="17">
      <t>ハチオウジ</t>
    </rPh>
    <rPh sb="20" eb="21">
      <t>ノ</t>
    </rPh>
    <phoneticPr fontId="6"/>
  </si>
  <si>
    <t>八王子市みなみ野３－２２－２</t>
    <rPh sb="0" eb="4">
      <t>ハチオウジシ</t>
    </rPh>
    <rPh sb="7" eb="8">
      <t>ノ</t>
    </rPh>
    <phoneticPr fontId="6"/>
  </si>
  <si>
    <t>042-683-0926</t>
    <phoneticPr fontId="6"/>
  </si>
  <si>
    <t>株式会社メディプラス</t>
    <rPh sb="0" eb="2">
      <t>カブシキ</t>
    </rPh>
    <rPh sb="2" eb="4">
      <t>カイシャ</t>
    </rPh>
    <phoneticPr fontId="6"/>
  </si>
  <si>
    <t>220-6212</t>
    <phoneticPr fontId="6"/>
  </si>
  <si>
    <t>神奈川県横浜市西区みなとみらい２－３－５クイーンズタワーC棟８階</t>
    <rPh sb="0" eb="4">
      <t>カナガワケン</t>
    </rPh>
    <rPh sb="4" eb="7">
      <t>ヨコハマシ</t>
    </rPh>
    <rPh sb="7" eb="9">
      <t>ニシク</t>
    </rPh>
    <rPh sb="29" eb="30">
      <t>トウ</t>
    </rPh>
    <rPh sb="31" eb="32">
      <t>カイ</t>
    </rPh>
    <phoneticPr fontId="5"/>
  </si>
  <si>
    <t>28八福障収第476号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</si>
  <si>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3八福障収第1488号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</si>
  <si>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変更届（開設者住所（神奈川県横浜市西区みなとみらいクイーンズタワーC棟11階→～平成29年3月1日）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40" eb="42">
      <t>ヘイセイ</t>
    </rPh>
    <rPh sb="44" eb="45">
      <t>ネン</t>
    </rPh>
    <rPh sb="46" eb="47">
      <t>ガツ</t>
    </rPh>
    <rPh sb="48" eb="49">
      <t>ニチ</t>
    </rPh>
    <phoneticPr fontId="5"/>
  </si>
  <si>
    <t>変更届（開設者氏名変更（瀨﨑哲也）～令和5年1月22日）</t>
    <rPh sb="0" eb="3">
      <t>ヘンコウトドケ</t>
    </rPh>
    <rPh sb="4" eb="7">
      <t>カイセツシャ</t>
    </rPh>
    <rPh sb="7" eb="11">
      <t>シメイヘンコウ</t>
    </rPh>
    <rPh sb="12" eb="13">
      <t>セ</t>
    </rPh>
    <rPh sb="13" eb="14">
      <t>サキ</t>
    </rPh>
    <rPh sb="14" eb="16">
      <t>テツヤ</t>
    </rPh>
    <rPh sb="18" eb="20">
      <t>レイワ</t>
    </rPh>
    <rPh sb="21" eb="22">
      <t>ネン</t>
    </rPh>
    <rPh sb="23" eb="24">
      <t>ガツ</t>
    </rPh>
    <rPh sb="26" eb="27">
      <t>ニチ</t>
    </rPh>
    <phoneticPr fontId="5"/>
  </si>
  <si>
    <r>
      <t>変更届（コード：7297468→7491848、変更日</t>
    </r>
    <r>
      <rPr>
        <sz val="11"/>
        <rFont val="ＭＳ 明朝"/>
        <family val="1"/>
        <charset val="128"/>
      </rPr>
      <t>令和5年7月1日）</t>
    </r>
    <rPh sb="24" eb="27">
      <t>ヘンコウビ</t>
    </rPh>
    <phoneticPr fontId="5"/>
  </si>
  <si>
    <t>修正（開設者住所（神奈川県横浜市西区みなとみらいクイーンズタワーC棟８階→神奈川県横浜市西区みなとみらい２－３－５クイーンズタワーC棟８階）</t>
    <rPh sb="0" eb="2">
      <t>シュウセイ</t>
    </rPh>
    <rPh sb="3" eb="6">
      <t>カイセツシャ</t>
    </rPh>
    <rPh sb="6" eb="8">
      <t>ジュウショ</t>
    </rPh>
    <phoneticPr fontId="5"/>
  </si>
  <si>
    <t>3-16</t>
  </si>
  <si>
    <t>めぐみ在宅看護センター</t>
    <rPh sb="3" eb="5">
      <t>ザイタク</t>
    </rPh>
    <rPh sb="5" eb="7">
      <t>カンゴ</t>
    </rPh>
    <phoneticPr fontId="6"/>
  </si>
  <si>
    <t>192-0914</t>
    <phoneticPr fontId="6"/>
  </si>
  <si>
    <t>八王子市片倉２５０４－１</t>
    <rPh sb="0" eb="4">
      <t>ハチオウジシ</t>
    </rPh>
    <rPh sb="4" eb="6">
      <t>カタクラ</t>
    </rPh>
    <phoneticPr fontId="6"/>
  </si>
  <si>
    <t>042-683-1230</t>
    <phoneticPr fontId="6"/>
  </si>
  <si>
    <t>株式会社エンジョイライフケア</t>
    <rPh sb="0" eb="2">
      <t>カブシキ</t>
    </rPh>
    <rPh sb="2" eb="4">
      <t>カイシャ</t>
    </rPh>
    <phoneticPr fontId="6"/>
  </si>
  <si>
    <t>八王子市片倉２５０４－１</t>
    <rPh sb="0" eb="3">
      <t>ハチオウジ</t>
    </rPh>
    <rPh sb="3" eb="4">
      <t>シ</t>
    </rPh>
    <rPh sb="4" eb="6">
      <t>カタクラ</t>
    </rPh>
    <phoneticPr fontId="6"/>
  </si>
  <si>
    <t>30八福障収第325号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</si>
  <si>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変更届（所在地：八王子市北野町582-2　小磯ハイツ215→八王子市片倉町2504-1、変更日：令和5年12月19日）</t>
    <rPh sb="12" eb="15">
      <t>キタノマチ</t>
    </rPh>
    <rPh sb="21" eb="23">
      <t>コイソ</t>
    </rPh>
    <rPh sb="34" eb="37">
      <t>カタクラマチ</t>
    </rPh>
    <phoneticPr fontId="5"/>
  </si>
  <si>
    <t>変更届（職員定数3名→8名、変更日：令和6年7月30日）</t>
    <phoneticPr fontId="5"/>
  </si>
  <si>
    <t>3-17</t>
  </si>
  <si>
    <t>こまぎの訪問看護ステーション天馬北野事業所</t>
    <rPh sb="4" eb="6">
      <t>ホウモン</t>
    </rPh>
    <rPh sb="6" eb="8">
      <t>カンゴ</t>
    </rPh>
    <rPh sb="14" eb="16">
      <t>テンマ</t>
    </rPh>
    <rPh sb="16" eb="18">
      <t>キタノ</t>
    </rPh>
    <rPh sb="18" eb="21">
      <t>ジギョウショ</t>
    </rPh>
    <phoneticPr fontId="6"/>
  </si>
  <si>
    <t>192-0911</t>
    <phoneticPr fontId="6"/>
  </si>
  <si>
    <t>八王子市打越町３４４－４　北野シティプラザ６階６０１号室</t>
    <rPh sb="0" eb="4">
      <t>ハチオウジシ</t>
    </rPh>
    <rPh sb="4" eb="7">
      <t>ウチコシマチ</t>
    </rPh>
    <rPh sb="13" eb="15">
      <t>キタノ</t>
    </rPh>
    <rPh sb="22" eb="23">
      <t>カイ</t>
    </rPh>
    <rPh sb="26" eb="28">
      <t>ゴウシツ</t>
    </rPh>
    <phoneticPr fontId="6"/>
  </si>
  <si>
    <t>042-656-5711</t>
    <phoneticPr fontId="6"/>
  </si>
  <si>
    <t>医療法人財団青溪会</t>
    <rPh sb="0" eb="2">
      <t>イリョウ</t>
    </rPh>
    <rPh sb="2" eb="4">
      <t>ホウジン</t>
    </rPh>
    <rPh sb="4" eb="6">
      <t>ザイダン</t>
    </rPh>
    <rPh sb="6" eb="7">
      <t>アオ</t>
    </rPh>
    <rPh sb="7" eb="8">
      <t>ケイ</t>
    </rPh>
    <rPh sb="8" eb="9">
      <t>カイ</t>
    </rPh>
    <phoneticPr fontId="6"/>
  </si>
  <si>
    <t>193-0841</t>
    <phoneticPr fontId="6"/>
  </si>
  <si>
    <t>東京都八王子市裏高尾町２７３</t>
    <rPh sb="0" eb="3">
      <t>トウキョウト</t>
    </rPh>
    <rPh sb="3" eb="7">
      <t>ハチオウジシ</t>
    </rPh>
    <rPh sb="7" eb="11">
      <t>ウラタカオマチ</t>
    </rPh>
    <phoneticPr fontId="5"/>
  </si>
  <si>
    <t>30八福障収第679号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</si>
  <si>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変更届（職員定数6名→11名、変更日：令和3年6月1日）</t>
    <rPh sb="0" eb="3">
      <t>ヘンコウトドケ</t>
    </rPh>
    <rPh sb="4" eb="8">
      <t>ショクインテイスウ</t>
    </rPh>
    <rPh sb="9" eb="10">
      <t>メイ</t>
    </rPh>
    <rPh sb="13" eb="14">
      <t>メイ</t>
    </rPh>
    <rPh sb="15" eb="18">
      <t>ヘンコウビ</t>
    </rPh>
    <rPh sb="19" eb="21">
      <t>レイワ</t>
    </rPh>
    <rPh sb="22" eb="23">
      <t>ネン</t>
    </rPh>
    <rPh sb="24" eb="25">
      <t>ガツ</t>
    </rPh>
    <rPh sb="26" eb="27">
      <t>ニチ</t>
    </rPh>
    <phoneticPr fontId="5"/>
  </si>
  <si>
    <t>3-18</t>
  </si>
  <si>
    <t>訪問看護ステーション　トリーヴ</t>
    <rPh sb="0" eb="2">
      <t>ホウモン</t>
    </rPh>
    <rPh sb="2" eb="4">
      <t>カンゴ</t>
    </rPh>
    <phoneticPr fontId="6"/>
  </si>
  <si>
    <t>192-0042</t>
    <phoneticPr fontId="6"/>
  </si>
  <si>
    <t>八王子市中野山王２－８－２</t>
    <rPh sb="0" eb="4">
      <t>ハチオウジシ</t>
    </rPh>
    <rPh sb="4" eb="8">
      <t>ナカノサンノウ</t>
    </rPh>
    <phoneticPr fontId="6"/>
  </si>
  <si>
    <t>042-686-0008</t>
    <phoneticPr fontId="6"/>
  </si>
  <si>
    <t>医療法人社団珠泉会</t>
    <rPh sb="0" eb="2">
      <t>イリョウ</t>
    </rPh>
    <rPh sb="2" eb="4">
      <t>ホウジン</t>
    </rPh>
    <rPh sb="4" eb="6">
      <t>シャダン</t>
    </rPh>
    <rPh sb="6" eb="7">
      <t>シュ</t>
    </rPh>
    <rPh sb="7" eb="8">
      <t>イズミ</t>
    </rPh>
    <rPh sb="8" eb="9">
      <t>カイ</t>
    </rPh>
    <phoneticPr fontId="6"/>
  </si>
  <si>
    <t>196-0014</t>
    <phoneticPr fontId="6"/>
  </si>
  <si>
    <t>東京都昭島市田中町２－１－３７</t>
    <rPh sb="0" eb="3">
      <t>トウキョウト</t>
    </rPh>
    <rPh sb="3" eb="6">
      <t>アキシマシ</t>
    </rPh>
    <rPh sb="6" eb="8">
      <t>タナカ</t>
    </rPh>
    <rPh sb="8" eb="9">
      <t>チョウ</t>
    </rPh>
    <phoneticPr fontId="5"/>
  </si>
  <si>
    <t>30八福障収第2374号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5"/>
  </si>
  <si>
    <t>6八福障第7489号</t>
    <phoneticPr fontId="5"/>
  </si>
  <si>
    <t>3-19</t>
  </si>
  <si>
    <t>あんこーる訪問看護ステーション</t>
    <rPh sb="5" eb="7">
      <t>ホウモン</t>
    </rPh>
    <rPh sb="7" eb="9">
      <t>カンゴ</t>
    </rPh>
    <phoneticPr fontId="6"/>
  </si>
  <si>
    <t>192-0045</t>
    <phoneticPr fontId="6"/>
  </si>
  <si>
    <t>八王子市大和田町２－３－１３　福ビル３Ｆ</t>
    <rPh sb="0" eb="4">
      <t>ハチオウジシ</t>
    </rPh>
    <rPh sb="4" eb="8">
      <t>オオワダマチ</t>
    </rPh>
    <rPh sb="15" eb="16">
      <t>フク</t>
    </rPh>
    <phoneticPr fontId="6"/>
  </si>
  <si>
    <t>042-649-3277</t>
    <phoneticPr fontId="6"/>
  </si>
  <si>
    <t>株式会社ＳＭＡＲＴ</t>
    <phoneticPr fontId="6"/>
  </si>
  <si>
    <t>103-0026</t>
    <phoneticPr fontId="6"/>
  </si>
  <si>
    <t>東京都中央区日本橋兜町3番９－７０９</t>
    <rPh sb="0" eb="3">
      <t>トウキョウト</t>
    </rPh>
    <rPh sb="9" eb="10">
      <t>カブト</t>
    </rPh>
    <rPh sb="10" eb="11">
      <t>マチ</t>
    </rPh>
    <rPh sb="12" eb="13">
      <t>バン</t>
    </rPh>
    <phoneticPr fontId="5"/>
  </si>
  <si>
    <t>令和元年7月1日</t>
    <rPh sb="0" eb="1">
      <t>レイ</t>
    </rPh>
    <rPh sb="1" eb="2">
      <t>ワ</t>
    </rPh>
    <rPh sb="2" eb="4">
      <t>ガンネン</t>
    </rPh>
    <rPh sb="5" eb="6">
      <t>ガツ</t>
    </rPh>
    <rPh sb="7" eb="8">
      <t>ニチ</t>
    </rPh>
    <phoneticPr fontId="6"/>
  </si>
  <si>
    <t>令和元年10月1日</t>
    <rPh sb="0" eb="1">
      <t>レイ</t>
    </rPh>
    <rPh sb="1" eb="2">
      <t>ワ</t>
    </rPh>
    <rPh sb="2" eb="4">
      <t>ガンネン</t>
    </rPh>
    <rPh sb="6" eb="7">
      <t>ガツ</t>
    </rPh>
    <rPh sb="8" eb="9">
      <t>ニチ</t>
    </rPh>
    <phoneticPr fontId="6"/>
  </si>
  <si>
    <t>31八福障収第498号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</si>
  <si>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7八福障第4047号</t>
    <phoneticPr fontId="5"/>
  </si>
  <si>
    <t>3-20</t>
  </si>
  <si>
    <t>〇</t>
    <phoneticPr fontId="5"/>
  </si>
  <si>
    <t>訪問看護ステーション　日なたぼっこ</t>
    <rPh sb="0" eb="4">
      <t>ホウモンカンゴ</t>
    </rPh>
    <rPh sb="11" eb="12">
      <t>ヒ</t>
    </rPh>
    <phoneticPr fontId="6"/>
  </si>
  <si>
    <t>192-0046</t>
    <phoneticPr fontId="6"/>
  </si>
  <si>
    <t>八王子市明神町２－２０－２　ＡＱＵＡレジデンス八王子第５５　３０１号</t>
    <rPh sb="0" eb="4">
      <t>ハチオウジシ</t>
    </rPh>
    <rPh sb="4" eb="7">
      <t>ミョウジンチョウ</t>
    </rPh>
    <rPh sb="23" eb="26">
      <t>ハチオウジ</t>
    </rPh>
    <rPh sb="26" eb="27">
      <t>ダイ</t>
    </rPh>
    <rPh sb="33" eb="34">
      <t>ゴウ</t>
    </rPh>
    <phoneticPr fontId="6"/>
  </si>
  <si>
    <t>042-649-8738</t>
    <phoneticPr fontId="6"/>
  </si>
  <si>
    <t>合同会社ｃａｔｌｏａｆ</t>
    <rPh sb="0" eb="2">
      <t>ゴウドウ</t>
    </rPh>
    <rPh sb="2" eb="4">
      <t>ガイシャ</t>
    </rPh>
    <phoneticPr fontId="6"/>
  </si>
  <si>
    <t>2八福障収第115号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9" eb="10">
      <t>ゴウ</t>
    </rPh>
    <phoneticPr fontId="5"/>
  </si>
  <si>
    <t>有効期限到来により失効（～令和８年６月３０日）</t>
    <phoneticPr fontId="5"/>
  </si>
  <si>
    <t>3-21</t>
  </si>
  <si>
    <t>更新</t>
    <rPh sb="0" eb="2">
      <t>コウシン</t>
    </rPh>
    <phoneticPr fontId="5"/>
  </si>
  <si>
    <t>訪問看護ステーション　クオーレ八王子</t>
    <rPh sb="0" eb="2">
      <t>ホウモン</t>
    </rPh>
    <rPh sb="2" eb="4">
      <t>カンゴ</t>
    </rPh>
    <rPh sb="15" eb="18">
      <t>ハチオウジ</t>
    </rPh>
    <phoneticPr fontId="6"/>
  </si>
  <si>
    <t>193-0823</t>
    <phoneticPr fontId="6"/>
  </si>
  <si>
    <t>八王子市横川町29-3</t>
    <rPh sb="0" eb="4">
      <t>ハチオウジシ</t>
    </rPh>
    <rPh sb="4" eb="5">
      <t>ヨコ</t>
    </rPh>
    <rPh sb="5" eb="6">
      <t>カワ</t>
    </rPh>
    <rPh sb="6" eb="7">
      <t>マチ</t>
    </rPh>
    <phoneticPr fontId="6"/>
  </si>
  <si>
    <t>042-686-3565</t>
    <phoneticPr fontId="6"/>
  </si>
  <si>
    <t>MJスタイル株式会社</t>
    <rPh sb="6" eb="10">
      <t>カブシキカイシャ</t>
    </rPh>
    <phoneticPr fontId="5"/>
  </si>
  <si>
    <t>162-0063</t>
    <phoneticPr fontId="5"/>
  </si>
  <si>
    <t>東京都新宿区市谷薬王寺町５番４号</t>
    <rPh sb="0" eb="3">
      <t>トウキョウト</t>
    </rPh>
    <rPh sb="3" eb="6">
      <t>シンジュクク</t>
    </rPh>
    <rPh sb="6" eb="7">
      <t>イチ</t>
    </rPh>
    <rPh sb="7" eb="8">
      <t>ヤ</t>
    </rPh>
    <rPh sb="8" eb="9">
      <t>ヤク</t>
    </rPh>
    <rPh sb="9" eb="10">
      <t>オウ</t>
    </rPh>
    <rPh sb="10" eb="11">
      <t>テラ</t>
    </rPh>
    <rPh sb="11" eb="12">
      <t>マチ</t>
    </rPh>
    <rPh sb="13" eb="14">
      <t>バン</t>
    </rPh>
    <rPh sb="15" eb="16">
      <t>ゴウ</t>
    </rPh>
    <phoneticPr fontId="5"/>
  </si>
  <si>
    <t>２八福障収第678号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6"/>
  </si>
  <si>
    <t>8八福障第3878号</t>
    <phoneticPr fontId="6"/>
  </si>
  <si>
    <t>変更届（開設者（平岡商事株式会社→）、開設者所在地（台東区北上野２－２－１４→））、～令和３年１月２９日</t>
    <rPh sb="0" eb="2">
      <t>ヘンコウ</t>
    </rPh>
    <rPh sb="2" eb="3">
      <t>トドケ</t>
    </rPh>
    <rPh sb="4" eb="7">
      <t>カイセツシャ</t>
    </rPh>
    <rPh sb="8" eb="10">
      <t>ヒラオカ</t>
    </rPh>
    <rPh sb="10" eb="12">
      <t>ショウジ</t>
    </rPh>
    <rPh sb="12" eb="16">
      <t>カブシキカイシャ</t>
    </rPh>
    <rPh sb="19" eb="22">
      <t>カイセツシャ</t>
    </rPh>
    <rPh sb="22" eb="25">
      <t>ショザイチ</t>
    </rPh>
    <rPh sb="26" eb="29">
      <t>タイトウク</t>
    </rPh>
    <rPh sb="29" eb="30">
      <t>キタ</t>
    </rPh>
    <rPh sb="30" eb="32">
      <t>ウエノ</t>
    </rPh>
    <rPh sb="43" eb="45">
      <t>レイワ</t>
    </rPh>
    <rPh sb="46" eb="47">
      <t>ネン</t>
    </rPh>
    <rPh sb="48" eb="49">
      <t>ガツ</t>
    </rPh>
    <rPh sb="51" eb="52">
      <t>ニチ</t>
    </rPh>
    <phoneticPr fontId="5"/>
  </si>
  <si>
    <t>変更届（開設者所在地：新宿区市谷薬王寺町７８→新宿区市谷薬王寺町５番４号、変更日：令和5年11月6日）</t>
    <rPh sb="0" eb="2">
      <t>ヘンコウ</t>
    </rPh>
    <rPh sb="2" eb="3">
      <t>トドケ</t>
    </rPh>
    <rPh sb="4" eb="7">
      <t>カイセツシャ</t>
    </rPh>
    <rPh sb="7" eb="10">
      <t>ショザイチ</t>
    </rPh>
    <rPh sb="11" eb="14">
      <t>シンジュクク</t>
    </rPh>
    <rPh sb="33" eb="34">
      <t>バン</t>
    </rPh>
    <rPh sb="35" eb="36">
      <t>ゴウ</t>
    </rPh>
    <rPh sb="37" eb="40">
      <t>ヘンコウビ</t>
    </rPh>
    <rPh sb="41" eb="43">
      <t>レイワ</t>
    </rPh>
    <rPh sb="44" eb="45">
      <t>ネン</t>
    </rPh>
    <rPh sb="47" eb="48">
      <t>ガツ</t>
    </rPh>
    <rPh sb="49" eb="50">
      <t>ニチ</t>
    </rPh>
    <phoneticPr fontId="5"/>
  </si>
  <si>
    <t>3-22</t>
    <phoneticPr fontId="5"/>
  </si>
  <si>
    <t>訪問看護ステーション　ひまわり</t>
    <rPh sb="0" eb="2">
      <t>ホウモン</t>
    </rPh>
    <rPh sb="2" eb="4">
      <t>カンゴ</t>
    </rPh>
    <phoneticPr fontId="5"/>
  </si>
  <si>
    <t>192-0372</t>
    <phoneticPr fontId="5"/>
  </si>
  <si>
    <t>八王子市下柚木２－１－５　ＭＯＴＯＨビル４０６</t>
    <rPh sb="0" eb="4">
      <t>ハチオウジシ</t>
    </rPh>
    <rPh sb="4" eb="7">
      <t>シモユギ</t>
    </rPh>
    <phoneticPr fontId="5"/>
  </si>
  <si>
    <t>042-689-4807</t>
    <phoneticPr fontId="5"/>
  </si>
  <si>
    <t>合同会社　Excerena</t>
    <phoneticPr fontId="5"/>
  </si>
  <si>
    <t>193-0944</t>
    <phoneticPr fontId="5"/>
  </si>
  <si>
    <t>八王子市館町２３００－２０８</t>
    <rPh sb="0" eb="4">
      <t>ハチオウジシ</t>
    </rPh>
    <rPh sb="4" eb="6">
      <t>タテマチ</t>
    </rPh>
    <phoneticPr fontId="5"/>
  </si>
  <si>
    <t>３八福障収第1528号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10" eb="11">
      <t>ゴウ</t>
    </rPh>
    <phoneticPr fontId="5"/>
  </si>
  <si>
    <t>変更届（開設者：特定非営利活動法人ほっと・ステーションらら→合同会社　Excerena、開設者住所：東京都町田市南成瀬２－３２－１１　クレスト南成瀬Ⅱ２－１１→八王子市館町２３００－２０８）変更日：令和8年1月1日</t>
    <rPh sb="0" eb="3">
      <t>ヘンコウトドケ</t>
    </rPh>
    <rPh sb="44" eb="49">
      <t>カイセツシャジュウショ</t>
    </rPh>
    <rPh sb="80" eb="84">
      <t>ハチオウジシ</t>
    </rPh>
    <rPh sb="84" eb="86">
      <t>タテマチ</t>
    </rPh>
    <rPh sb="95" eb="98">
      <t>ヘンコウビ</t>
    </rPh>
    <rPh sb="99" eb="101">
      <t>レイワ</t>
    </rPh>
    <rPh sb="102" eb="103">
      <t>ネン</t>
    </rPh>
    <rPh sb="104" eb="105">
      <t>ガツ</t>
    </rPh>
    <rPh sb="106" eb="107">
      <t>ニチ</t>
    </rPh>
    <phoneticPr fontId="6"/>
  </si>
  <si>
    <t>3-23</t>
    <phoneticPr fontId="5"/>
  </si>
  <si>
    <t>八王子西訪問看護ステーション</t>
    <rPh sb="0" eb="3">
      <t>ハチオウジ</t>
    </rPh>
    <rPh sb="3" eb="4">
      <t>ニシ</t>
    </rPh>
    <rPh sb="4" eb="6">
      <t>ホウモン</t>
    </rPh>
    <rPh sb="6" eb="8">
      <t>カンゴ</t>
    </rPh>
    <phoneticPr fontId="5"/>
  </si>
  <si>
    <t>八王子市館町1097-2 館ヶ丘団地5号棟-113</t>
    <rPh sb="0" eb="4">
      <t>ハチオウジシ</t>
    </rPh>
    <rPh sb="4" eb="6">
      <t>タテマチ</t>
    </rPh>
    <rPh sb="13" eb="18">
      <t>タテガオカダンチ</t>
    </rPh>
    <rPh sb="19" eb="21">
      <t>ゴウトウ</t>
    </rPh>
    <phoneticPr fontId="5"/>
  </si>
  <si>
    <t>042-673-3509</t>
    <phoneticPr fontId="5"/>
  </si>
  <si>
    <t>株式会社RMI</t>
    <rPh sb="0" eb="4">
      <t>カブシキガイシャ</t>
    </rPh>
    <phoneticPr fontId="5"/>
  </si>
  <si>
    <t>252-0105</t>
    <phoneticPr fontId="5"/>
  </si>
  <si>
    <t>神奈川県相模原市緑区久保沢2-3-21</t>
    <rPh sb="0" eb="4">
      <t>カナガワケン</t>
    </rPh>
    <rPh sb="4" eb="8">
      <t>サガミハラシ</t>
    </rPh>
    <rPh sb="8" eb="10">
      <t>ミドリク</t>
    </rPh>
    <rPh sb="10" eb="13">
      <t>クボサワ</t>
    </rPh>
    <phoneticPr fontId="5"/>
  </si>
  <si>
    <t>３八福障収第1732号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10" eb="11">
      <t>ゴウ</t>
    </rPh>
    <phoneticPr fontId="5"/>
  </si>
  <si>
    <t>3-24</t>
  </si>
  <si>
    <t>わかちな訪問看護ステーション</t>
    <rPh sb="4" eb="8">
      <t>ホウモンカンゴ</t>
    </rPh>
    <phoneticPr fontId="5"/>
  </si>
  <si>
    <t>192-0918</t>
    <phoneticPr fontId="5"/>
  </si>
  <si>
    <t>八王子市兵衛2-3-9　エスポワール203</t>
    <rPh sb="0" eb="4">
      <t>ハチオウジシ</t>
    </rPh>
    <rPh sb="4" eb="6">
      <t>ヒョウエ</t>
    </rPh>
    <phoneticPr fontId="5"/>
  </si>
  <si>
    <t>042-610-2623</t>
    <phoneticPr fontId="5"/>
  </si>
  <si>
    <t>合同会社BLESS</t>
    <rPh sb="0" eb="2">
      <t>ゴウドウ</t>
    </rPh>
    <phoneticPr fontId="5"/>
  </si>
  <si>
    <t>143-0025</t>
    <phoneticPr fontId="5"/>
  </si>
  <si>
    <t>東京都大田区南馬込1-26-13</t>
    <rPh sb="0" eb="3">
      <t>トウキョウト</t>
    </rPh>
    <rPh sb="3" eb="5">
      <t>オオタ</t>
    </rPh>
    <rPh sb="5" eb="6">
      <t>ク</t>
    </rPh>
    <rPh sb="6" eb="9">
      <t>ミナミマゴメ</t>
    </rPh>
    <phoneticPr fontId="5"/>
  </si>
  <si>
    <t>４八福障収第678号</t>
    <rPh sb="1" eb="2">
      <t>ハチ</t>
    </rPh>
    <rPh sb="2" eb="3">
      <t>フク</t>
    </rPh>
    <rPh sb="4" eb="5">
      <t>シュウ</t>
    </rPh>
    <rPh sb="5" eb="6">
      <t>ダイ</t>
    </rPh>
    <rPh sb="9" eb="10">
      <t>ゴウ</t>
    </rPh>
    <phoneticPr fontId="5"/>
  </si>
  <si>
    <t>3-25</t>
  </si>
  <si>
    <t>指定訪問看護アットリハ八王子</t>
    <rPh sb="0" eb="6">
      <t>シテイホウモンカンゴ</t>
    </rPh>
    <rPh sb="11" eb="14">
      <t>ハチオウジ</t>
    </rPh>
    <phoneticPr fontId="5"/>
  </si>
  <si>
    <t>192-0066</t>
    <phoneticPr fontId="5"/>
  </si>
  <si>
    <t>八王子市本町9-2</t>
    <rPh sb="0" eb="4">
      <t>ハチオウジシ</t>
    </rPh>
    <rPh sb="4" eb="6">
      <t>ホンチョウ</t>
    </rPh>
    <phoneticPr fontId="5"/>
  </si>
  <si>
    <t>042-649-9084</t>
    <phoneticPr fontId="5"/>
  </si>
  <si>
    <t>株式会社AT</t>
    <rPh sb="0" eb="4">
      <t>カブシキガイシャ</t>
    </rPh>
    <phoneticPr fontId="5"/>
  </si>
  <si>
    <t>213-0022</t>
    <phoneticPr fontId="5"/>
  </si>
  <si>
    <t>神奈川県川崎市高津区千年新町9-15</t>
    <rPh sb="0" eb="4">
      <t>カナガワケン</t>
    </rPh>
    <rPh sb="4" eb="7">
      <t>カワサキシ</t>
    </rPh>
    <rPh sb="7" eb="10">
      <t>タカツク</t>
    </rPh>
    <rPh sb="10" eb="12">
      <t>センネン</t>
    </rPh>
    <rPh sb="12" eb="14">
      <t>シンマチ</t>
    </rPh>
    <phoneticPr fontId="5"/>
  </si>
  <si>
    <t>４八福障収646第</t>
    <phoneticPr fontId="5"/>
  </si>
  <si>
    <t>変更届（名称：指定訪問看護アットリハ石川町→指定訪問看護アットリハ八王子、所在地：八王子市石川町702-1→八王子市本町9-2、変更日：令和5年4月1日）</t>
    <rPh sb="0" eb="3">
      <t>ヘンコウトドケ</t>
    </rPh>
    <rPh sb="4" eb="6">
      <t>メイショウ</t>
    </rPh>
    <rPh sb="7" eb="11">
      <t>シテイホウモン</t>
    </rPh>
    <rPh sb="11" eb="13">
      <t>カンゴ</t>
    </rPh>
    <rPh sb="18" eb="21">
      <t>イシカワマチ</t>
    </rPh>
    <rPh sb="22" eb="28">
      <t>シテイホウモンカンゴ</t>
    </rPh>
    <rPh sb="33" eb="36">
      <t>ハチオウジ</t>
    </rPh>
    <rPh sb="37" eb="40">
      <t>ショザイチ</t>
    </rPh>
    <rPh sb="41" eb="45">
      <t>ハチオウジシ</t>
    </rPh>
    <rPh sb="45" eb="48">
      <t>イシカワマチ</t>
    </rPh>
    <rPh sb="54" eb="58">
      <t>ハチオウジシ</t>
    </rPh>
    <rPh sb="58" eb="60">
      <t>ホンチョウ</t>
    </rPh>
    <rPh sb="64" eb="67">
      <t>ヘンコウビ</t>
    </rPh>
    <rPh sb="68" eb="70">
      <t>レイワ</t>
    </rPh>
    <rPh sb="71" eb="72">
      <t>ネン</t>
    </rPh>
    <rPh sb="73" eb="74">
      <t>ガツ</t>
    </rPh>
    <rPh sb="75" eb="76">
      <t>ニチ</t>
    </rPh>
    <phoneticPr fontId="5"/>
  </si>
  <si>
    <t>3-26</t>
    <phoneticPr fontId="5"/>
  </si>
  <si>
    <t>訪問看護ステーション　アミカル八王子</t>
    <rPh sb="0" eb="4">
      <t>ホウモンカンゴ</t>
    </rPh>
    <rPh sb="15" eb="18">
      <t>ハチオウジ</t>
    </rPh>
    <phoneticPr fontId="5"/>
  </si>
  <si>
    <t>192-0063</t>
    <phoneticPr fontId="5"/>
  </si>
  <si>
    <t>八王子市元横山町2-5-3-102</t>
    <rPh sb="0" eb="4">
      <t>ハチオウジシ</t>
    </rPh>
    <rPh sb="4" eb="8">
      <t>モトヨコヤマチョウ</t>
    </rPh>
    <phoneticPr fontId="5"/>
  </si>
  <si>
    <t>042-649-8900</t>
    <phoneticPr fontId="5"/>
  </si>
  <si>
    <t>合同会社amical</t>
    <rPh sb="0" eb="2">
      <t>ゴウドウ</t>
    </rPh>
    <rPh sb="2" eb="4">
      <t>カイシャ</t>
    </rPh>
    <phoneticPr fontId="5"/>
  </si>
  <si>
    <t>252-0246</t>
    <phoneticPr fontId="5"/>
  </si>
  <si>
    <t>神奈川県相模原市中央区水郷田名1-2-13</t>
    <rPh sb="0" eb="4">
      <t>カナガワケン</t>
    </rPh>
    <rPh sb="4" eb="8">
      <t>サガミハラシ</t>
    </rPh>
    <rPh sb="8" eb="11">
      <t>チュウオウク</t>
    </rPh>
    <rPh sb="11" eb="13">
      <t>スイゴウ</t>
    </rPh>
    <rPh sb="13" eb="15">
      <t>タナ</t>
    </rPh>
    <phoneticPr fontId="5"/>
  </si>
  <si>
    <t>５八福障第1080号</t>
    <phoneticPr fontId="6"/>
  </si>
  <si>
    <t>3-27</t>
    <phoneticPr fontId="5"/>
  </si>
  <si>
    <t>訪問看護リハビリステーション　ベル・八王子</t>
    <rPh sb="0" eb="2">
      <t>ホウモン</t>
    </rPh>
    <rPh sb="2" eb="4">
      <t>カンゴ</t>
    </rPh>
    <rPh sb="18" eb="21">
      <t>ハチオウジ</t>
    </rPh>
    <phoneticPr fontId="5"/>
  </si>
  <si>
    <t>193-0822</t>
    <phoneticPr fontId="5"/>
  </si>
  <si>
    <t>八王子市弐分方町680</t>
    <rPh sb="0" eb="3">
      <t>ハチオウジ</t>
    </rPh>
    <rPh sb="3" eb="4">
      <t>シ</t>
    </rPh>
    <rPh sb="4" eb="8">
      <t>ニブカタマチ</t>
    </rPh>
    <phoneticPr fontId="5"/>
  </si>
  <si>
    <t>042-686-2993</t>
    <phoneticPr fontId="5"/>
  </si>
  <si>
    <t>株式会社ＰＯＫＡＲＡ</t>
    <phoneticPr fontId="5"/>
  </si>
  <si>
    <t>193-0845</t>
    <phoneticPr fontId="5"/>
  </si>
  <si>
    <t>東京都八王子市初沢町1277-3</t>
    <rPh sb="0" eb="3">
      <t>トウキョウト</t>
    </rPh>
    <rPh sb="3" eb="7">
      <t>ハチオウジシ</t>
    </rPh>
    <rPh sb="7" eb="10">
      <t>ハツサワマチ</t>
    </rPh>
    <phoneticPr fontId="5"/>
  </si>
  <si>
    <t>５八福障第5944号</t>
    <phoneticPr fontId="6"/>
  </si>
  <si>
    <t>変更届（所在地：八王子市四谷町819-1　201・202号室→八王子市弐分方町680、変更日：令和8年5月15日）</t>
    <phoneticPr fontId="5"/>
  </si>
  <si>
    <t>3-28</t>
    <phoneticPr fontId="5"/>
  </si>
  <si>
    <t>ザオーケア訪問看護ステーション八王子</t>
    <rPh sb="5" eb="7">
      <t>ホウモン</t>
    </rPh>
    <rPh sb="7" eb="9">
      <t>カンゴ</t>
    </rPh>
    <rPh sb="15" eb="18">
      <t>ハチオウジ</t>
    </rPh>
    <phoneticPr fontId="5"/>
  </si>
  <si>
    <t>192-0073</t>
    <phoneticPr fontId="5"/>
  </si>
  <si>
    <t>八王子市寺町23-5　ドリーム八王子4階</t>
    <rPh sb="0" eb="6">
      <t>ハチオウジシテラマチ</t>
    </rPh>
    <rPh sb="15" eb="18">
      <t>ハチオウジ</t>
    </rPh>
    <rPh sb="19" eb="20">
      <t>カイ</t>
    </rPh>
    <phoneticPr fontId="5"/>
  </si>
  <si>
    <t>042-686-1696</t>
    <phoneticPr fontId="5"/>
  </si>
  <si>
    <t>ザオーケア株式会社</t>
    <rPh sb="5" eb="9">
      <t>カブシキガイシャ</t>
    </rPh>
    <phoneticPr fontId="5"/>
  </si>
  <si>
    <t>108-0023</t>
    <phoneticPr fontId="5"/>
  </si>
  <si>
    <t>東京都港区芝浦二丁目3番35　田町グリーンハイツ604</t>
    <rPh sb="0" eb="5">
      <t>トウキョウトミナトク</t>
    </rPh>
    <rPh sb="5" eb="7">
      <t>シバウラ</t>
    </rPh>
    <rPh sb="7" eb="10">
      <t>ニチョウメ</t>
    </rPh>
    <rPh sb="11" eb="12">
      <t>バン</t>
    </rPh>
    <rPh sb="15" eb="17">
      <t>タマチ</t>
    </rPh>
    <phoneticPr fontId="5"/>
  </si>
  <si>
    <t>６八福障第1262号</t>
    <phoneticPr fontId="6"/>
  </si>
  <si>
    <t>3-29</t>
  </si>
  <si>
    <t>ナーシングステーションこのこのビレッジ八王子</t>
    <phoneticPr fontId="11"/>
  </si>
  <si>
    <t>192-0054</t>
    <phoneticPr fontId="5"/>
  </si>
  <si>
    <t>八王子市小門町３９　プライムガーデン１階東側</t>
    <phoneticPr fontId="11"/>
  </si>
  <si>
    <t>042-634-9660</t>
    <phoneticPr fontId="5"/>
  </si>
  <si>
    <t>ビレッジ・エイド株式会社</t>
    <rPh sb="8" eb="12">
      <t>カブシキカイシャ</t>
    </rPh>
    <phoneticPr fontId="11"/>
  </si>
  <si>
    <t>177-0044</t>
    <phoneticPr fontId="5"/>
  </si>
  <si>
    <t>練馬区上石神井1-39-4</t>
    <rPh sb="0" eb="3">
      <t>ネリマク</t>
    </rPh>
    <rPh sb="3" eb="7">
      <t>カミシャクジイ</t>
    </rPh>
    <phoneticPr fontId="11"/>
  </si>
  <si>
    <t>６八福障第6221号</t>
    <phoneticPr fontId="6"/>
  </si>
  <si>
    <t>3-30</t>
  </si>
  <si>
    <t>訪問看護ステーション　イリス八王子</t>
    <rPh sb="0" eb="4">
      <t>ホウモンカンゴ</t>
    </rPh>
    <rPh sb="14" eb="17">
      <t>ハチオウジ</t>
    </rPh>
    <phoneticPr fontId="11"/>
  </si>
  <si>
    <t>193-0834</t>
    <phoneticPr fontId="5"/>
  </si>
  <si>
    <t>八王子市東浅川町５１７－２　グレイス東浅川２０１</t>
    <phoneticPr fontId="11"/>
  </si>
  <si>
    <t>042-673-6471</t>
    <phoneticPr fontId="5"/>
  </si>
  <si>
    <t>ＲＥＲＩＳＥ株式会社</t>
    <rPh sb="6" eb="10">
      <t>カブシキカイシャ</t>
    </rPh>
    <phoneticPr fontId="11"/>
  </si>
  <si>
    <t>八王子市元八王子町2-2020-24</t>
    <rPh sb="0" eb="3">
      <t>ハチオウジ</t>
    </rPh>
    <rPh sb="3" eb="4">
      <t>シ</t>
    </rPh>
    <rPh sb="4" eb="9">
      <t>モトハチオウジマチ</t>
    </rPh>
    <phoneticPr fontId="11"/>
  </si>
  <si>
    <t>3-31</t>
  </si>
  <si>
    <t>ゆぎ訪問看護ステーション</t>
    <phoneticPr fontId="11"/>
  </si>
  <si>
    <t>八王子市下柚木２－１３－５　ツインコート　フォルクス１０１号</t>
    <phoneticPr fontId="11"/>
  </si>
  <si>
    <t>042-689-4066</t>
    <phoneticPr fontId="5"/>
  </si>
  <si>
    <t>株式会社Ｗｅｌｌｓｈｉｐ</t>
    <rPh sb="0" eb="4">
      <t>カブシキカイシャ</t>
    </rPh>
    <phoneticPr fontId="11"/>
  </si>
  <si>
    <t>八王子市下柚木2-13-5</t>
    <rPh sb="0" eb="4">
      <t>ハチオウジシ</t>
    </rPh>
    <rPh sb="4" eb="7">
      <t>シモユギ</t>
    </rPh>
    <phoneticPr fontId="11"/>
  </si>
  <si>
    <t>3-32</t>
    <phoneticPr fontId="5"/>
  </si>
  <si>
    <t>リアン訪問看護ステーション</t>
    <rPh sb="3" eb="7">
      <t>ホウモンカンゴ</t>
    </rPh>
    <phoneticPr fontId="5"/>
  </si>
  <si>
    <t>192-0914</t>
    <phoneticPr fontId="5"/>
  </si>
  <si>
    <t>八王子市片倉町1395-26</t>
  </si>
  <si>
    <t>042-699-0921</t>
    <phoneticPr fontId="5"/>
  </si>
  <si>
    <t>一般社団法人アルデバラン</t>
    <rPh sb="0" eb="6">
      <t>イッパンシャダンホウジン</t>
    </rPh>
    <phoneticPr fontId="11"/>
  </si>
  <si>
    <t>192-0914</t>
  </si>
  <si>
    <t>６八福障第8018号</t>
    <phoneticPr fontId="6"/>
  </si>
  <si>
    <t>廃止届（令和8年3月31日廃止、人員配置基準を満たさない、運営方針による、採用困難なため）</t>
    <rPh sb="4" eb="6">
      <t>レイワ</t>
    </rPh>
    <rPh sb="16" eb="18">
      <t>ジンイン</t>
    </rPh>
    <rPh sb="18" eb="20">
      <t>ハイチ</t>
    </rPh>
    <rPh sb="20" eb="22">
      <t>キジュン</t>
    </rPh>
    <rPh sb="23" eb="24">
      <t>ミ</t>
    </rPh>
    <rPh sb="29" eb="31">
      <t>ウンエイ</t>
    </rPh>
    <rPh sb="31" eb="33">
      <t>ホウシン</t>
    </rPh>
    <rPh sb="37" eb="39">
      <t>サイヨウ</t>
    </rPh>
    <rPh sb="39" eb="41">
      <t>コンナン</t>
    </rPh>
    <phoneticPr fontId="5"/>
  </si>
  <si>
    <t>3-33</t>
    <phoneticPr fontId="5"/>
  </si>
  <si>
    <t>訪問看護ハウ・オリ</t>
    <phoneticPr fontId="5"/>
  </si>
  <si>
    <t>192-0045</t>
    <phoneticPr fontId="5"/>
  </si>
  <si>
    <t>八王子市大和田町７－１７－１６</t>
    <phoneticPr fontId="5"/>
  </si>
  <si>
    <t>042-615-4695</t>
    <phoneticPr fontId="5"/>
  </si>
  <si>
    <t>株式会社一縁</t>
    <rPh sb="0" eb="4">
      <t>カブシキガイシャ</t>
    </rPh>
    <rPh sb="4" eb="5">
      <t>イチ</t>
    </rPh>
    <rPh sb="5" eb="6">
      <t>エン</t>
    </rPh>
    <phoneticPr fontId="11"/>
  </si>
  <si>
    <t>７八福障第4047号</t>
    <phoneticPr fontId="6"/>
  </si>
  <si>
    <t>3-34</t>
    <phoneticPr fontId="5"/>
  </si>
  <si>
    <t>訪問看護ステーション昊</t>
    <phoneticPr fontId="5"/>
  </si>
  <si>
    <t>193-0802</t>
    <phoneticPr fontId="5"/>
  </si>
  <si>
    <t>八王子市犬目町９１８―１　ロイヤルレジデンス１階１０１号室</t>
    <phoneticPr fontId="5"/>
  </si>
  <si>
    <t>042-641-1128</t>
    <phoneticPr fontId="5"/>
  </si>
  <si>
    <t>株式会社ステア</t>
    <rPh sb="0" eb="4">
      <t>カブシキガイシャ</t>
    </rPh>
    <phoneticPr fontId="11"/>
  </si>
  <si>
    <t>辞退届（令和7年12月31日辞退、医療種別統合のため）</t>
    <rPh sb="0" eb="2">
      <t>ジタイ</t>
    </rPh>
    <rPh sb="2" eb="3">
      <t>トドケ</t>
    </rPh>
    <rPh sb="14" eb="16">
      <t>ジタイ</t>
    </rPh>
    <rPh sb="17" eb="19">
      <t>イリョウ</t>
    </rPh>
    <rPh sb="19" eb="21">
      <t>シュベツ</t>
    </rPh>
    <rPh sb="21" eb="23">
      <t>トウゴウ</t>
    </rPh>
    <phoneticPr fontId="5"/>
  </si>
  <si>
    <t>3-35</t>
    <phoneticPr fontId="5"/>
  </si>
  <si>
    <t>７八福障第6127号</t>
    <phoneticPr fontId="6"/>
  </si>
  <si>
    <t>3-36</t>
    <phoneticPr fontId="5"/>
  </si>
  <si>
    <t>訪問看護ステーション八王子Ring with</t>
    <rPh sb="10" eb="13">
      <t>ハチオウジ</t>
    </rPh>
    <phoneticPr fontId="5"/>
  </si>
  <si>
    <t>193-0823</t>
    <phoneticPr fontId="5"/>
  </si>
  <si>
    <t>八王子市横川町１１６７　木下マンション１０３号室</t>
    <rPh sb="4" eb="7">
      <t>ヨコカワマチ</t>
    </rPh>
    <rPh sb="12" eb="14">
      <t>キノシタ</t>
    </rPh>
    <rPh sb="22" eb="24">
      <t>ゴウシツ</t>
    </rPh>
    <phoneticPr fontId="5"/>
  </si>
  <si>
    <t>042-634-9512</t>
    <phoneticPr fontId="5"/>
  </si>
  <si>
    <t>株式会社Ring with</t>
    <rPh sb="0" eb="2">
      <t>カブシキ</t>
    </rPh>
    <rPh sb="2" eb="4">
      <t>カイシャ</t>
    </rPh>
    <phoneticPr fontId="11"/>
  </si>
  <si>
    <t>547-0035</t>
    <phoneticPr fontId="5"/>
  </si>
  <si>
    <r>
      <t>大阪府大阪市平野区西脇１-9-1　西脇</t>
    </r>
    <r>
      <rPr>
        <sz val="11"/>
        <color theme="1"/>
        <rFont val="ＭＳ Ｐゴシック"/>
        <family val="3"/>
        <charset val="128"/>
      </rPr>
      <t>一</t>
    </r>
    <r>
      <rPr>
        <sz val="11"/>
        <color theme="1"/>
        <rFont val="ＭＳ Ｐゴシック"/>
        <family val="3"/>
        <charset val="128"/>
        <scheme val="minor"/>
      </rPr>
      <t>丁目ビル3F</t>
    </r>
    <rPh sb="0" eb="3">
      <t>オオサカフ</t>
    </rPh>
    <rPh sb="3" eb="6">
      <t>オオサカシ</t>
    </rPh>
    <rPh sb="6" eb="9">
      <t>ヒラノク</t>
    </rPh>
    <rPh sb="9" eb="11">
      <t>ニシワキ</t>
    </rPh>
    <rPh sb="17" eb="19">
      <t>ニシワキ</t>
    </rPh>
    <rPh sb="19" eb="20">
      <t>１</t>
    </rPh>
    <rPh sb="20" eb="22">
      <t>チョウメ</t>
    </rPh>
    <phoneticPr fontId="5"/>
  </si>
  <si>
    <t>3-37</t>
    <phoneticPr fontId="5"/>
  </si>
  <si>
    <t>訪問看護リベル　八王子片倉</t>
    <rPh sb="0" eb="2">
      <t>ホウモン</t>
    </rPh>
    <rPh sb="2" eb="4">
      <t>カンゴ</t>
    </rPh>
    <rPh sb="8" eb="11">
      <t>ハチオウジ</t>
    </rPh>
    <rPh sb="11" eb="13">
      <t>カタクラ</t>
    </rPh>
    <phoneticPr fontId="5"/>
  </si>
  <si>
    <t>八王子市片倉町７０４－４</t>
    <rPh sb="4" eb="7">
      <t>カタクラマチ</t>
    </rPh>
    <phoneticPr fontId="5"/>
  </si>
  <si>
    <t>042-683-2172</t>
    <phoneticPr fontId="5"/>
  </si>
  <si>
    <t>株式会社リベルケア</t>
    <rPh sb="0" eb="4">
      <t>カブシキカイシャ</t>
    </rPh>
    <phoneticPr fontId="11"/>
  </si>
  <si>
    <t>450-0002</t>
    <phoneticPr fontId="5"/>
  </si>
  <si>
    <t>愛知県名古屋市中村区名駅３－２８－１２</t>
    <rPh sb="0" eb="3">
      <t>アイチケン</t>
    </rPh>
    <rPh sb="3" eb="7">
      <t>ナゴヤシ</t>
    </rPh>
    <rPh sb="7" eb="9">
      <t>ナカムラ</t>
    </rPh>
    <rPh sb="9" eb="10">
      <t>ク</t>
    </rPh>
    <rPh sb="10" eb="11">
      <t>ナ</t>
    </rPh>
    <rPh sb="11" eb="12">
      <t>エキ</t>
    </rPh>
    <phoneticPr fontId="5"/>
  </si>
  <si>
    <t>変更届（開設者氏名：代表取締役　　清原　達観→代表取締役　川久保　次朗、令和8年3月1日）</t>
    <phoneticPr fontId="5"/>
  </si>
  <si>
    <t>3-38</t>
    <phoneticPr fontId="5"/>
  </si>
  <si>
    <t>訪問看護ステーション　クラエ八王子</t>
    <rPh sb="0" eb="2">
      <t>ホウモン</t>
    </rPh>
    <rPh sb="2" eb="4">
      <t>カンゴ</t>
    </rPh>
    <rPh sb="14" eb="17">
      <t>ハチオウジ</t>
    </rPh>
    <phoneticPr fontId="5"/>
  </si>
  <si>
    <t>192-0906</t>
    <phoneticPr fontId="5"/>
  </si>
  <si>
    <t>八王子市北野町５３４－１６　ビルコート東山２０１</t>
    <rPh sb="0" eb="4">
      <t>ハチオウジシ</t>
    </rPh>
    <rPh sb="4" eb="6">
      <t>キタノ</t>
    </rPh>
    <rPh sb="6" eb="7">
      <t>マチ</t>
    </rPh>
    <rPh sb="19" eb="21">
      <t>ヒガシヤマ</t>
    </rPh>
    <phoneticPr fontId="5"/>
  </si>
  <si>
    <t>042-649-5467</t>
    <phoneticPr fontId="5"/>
  </si>
  <si>
    <t>株式会社クラエ</t>
    <rPh sb="0" eb="4">
      <t>カブシキカイシャ</t>
    </rPh>
    <phoneticPr fontId="11"/>
  </si>
  <si>
    <t>252-0344</t>
    <phoneticPr fontId="5"/>
  </si>
  <si>
    <t>神奈川県相模原市南区古淵２丁目３－２０　スアイナーカーウ３０３</t>
    <rPh sb="0" eb="4">
      <t>カナガワケン</t>
    </rPh>
    <rPh sb="4" eb="8">
      <t>サガミハラシ</t>
    </rPh>
    <rPh sb="8" eb="10">
      <t>ミナミク</t>
    </rPh>
    <rPh sb="10" eb="12">
      <t>コブチ</t>
    </rPh>
    <rPh sb="13" eb="15">
      <t>チョウメ</t>
    </rPh>
    <phoneticPr fontId="5"/>
  </si>
  <si>
    <t>7八福障第8178号</t>
    <phoneticPr fontId="6"/>
  </si>
  <si>
    <t>3-39</t>
    <phoneticPr fontId="5"/>
  </si>
  <si>
    <t>訪問看護リハビリステーション　アルバ八王子</t>
    <rPh sb="0" eb="4">
      <t>ホウモンカンゴ</t>
    </rPh>
    <rPh sb="18" eb="21">
      <t>ハチオウジ</t>
    </rPh>
    <phoneticPr fontId="5"/>
  </si>
  <si>
    <t>192-0051</t>
    <phoneticPr fontId="5"/>
  </si>
  <si>
    <t>八王子市元本郷町１丁目２２－６　メゾンドセリゼ１０１号室</t>
    <rPh sb="0" eb="4">
      <t>ハチオウジシ</t>
    </rPh>
    <rPh sb="4" eb="8">
      <t>モトホンゴウチョウ</t>
    </rPh>
    <rPh sb="9" eb="11">
      <t>チョウメ</t>
    </rPh>
    <rPh sb="26" eb="28">
      <t>ゴウシツ</t>
    </rPh>
    <phoneticPr fontId="5"/>
  </si>
  <si>
    <t>042-686-0505</t>
    <phoneticPr fontId="5"/>
  </si>
  <si>
    <t>3-40</t>
    <phoneticPr fontId="5"/>
  </si>
  <si>
    <t>新規</t>
    <rPh sb="0" eb="2">
      <t>シンキ</t>
    </rPh>
    <phoneticPr fontId="5"/>
  </si>
  <si>
    <t>訪問看護ステーション円</t>
    <rPh sb="0" eb="2">
      <t>ホウモン</t>
    </rPh>
    <rPh sb="2" eb="4">
      <t>カンゴ</t>
    </rPh>
    <rPh sb="10" eb="11">
      <t>エン</t>
    </rPh>
    <phoneticPr fontId="5"/>
  </si>
  <si>
    <t>192-0904</t>
    <phoneticPr fontId="5"/>
  </si>
  <si>
    <t>八王子市子安町１－２９－１　永豊ビル２０２</t>
    <rPh sb="0" eb="4">
      <t>ハチオウジシ</t>
    </rPh>
    <rPh sb="4" eb="7">
      <t>コヤスマチ</t>
    </rPh>
    <rPh sb="14" eb="15">
      <t>エイ</t>
    </rPh>
    <rPh sb="15" eb="16">
      <t>トヨ</t>
    </rPh>
    <phoneticPr fontId="5"/>
  </si>
  <si>
    <t>042-649-5715</t>
    <phoneticPr fontId="5"/>
  </si>
  <si>
    <t>株式会社円グループ</t>
    <rPh sb="0" eb="4">
      <t>カブシキガイシャ</t>
    </rPh>
    <rPh sb="4" eb="5">
      <t>エン</t>
    </rPh>
    <phoneticPr fontId="11"/>
  </si>
  <si>
    <t>190-0011</t>
    <phoneticPr fontId="5"/>
  </si>
  <si>
    <t>立川市高松町１－１７－２０　粕谷ビル２階</t>
    <rPh sb="0" eb="3">
      <t>タチカワシ</t>
    </rPh>
    <rPh sb="3" eb="5">
      <t>タカマツ</t>
    </rPh>
    <rPh sb="5" eb="6">
      <t>マチ</t>
    </rPh>
    <rPh sb="14" eb="16">
      <t>カスヤ</t>
    </rPh>
    <rPh sb="19" eb="20">
      <t>カイ</t>
    </rPh>
    <phoneticPr fontId="11"/>
  </si>
  <si>
    <t>8八福障第3876号</t>
    <phoneticPr fontId="6"/>
  </si>
  <si>
    <t>3-41</t>
    <phoneticPr fontId="5"/>
  </si>
  <si>
    <t>指定訪問看護アットリハ石川町</t>
    <rPh sb="0" eb="6">
      <t>シテイホウモンカンゴ</t>
    </rPh>
    <rPh sb="11" eb="14">
      <t>イシカワマチ</t>
    </rPh>
    <phoneticPr fontId="5"/>
  </si>
  <si>
    <t>192-0032</t>
    <phoneticPr fontId="5"/>
  </si>
  <si>
    <t>八王子市石川町７０２－１</t>
    <rPh sb="0" eb="4">
      <t>ハチオウジシ</t>
    </rPh>
    <rPh sb="4" eb="7">
      <t>イシカワチョウ</t>
    </rPh>
    <phoneticPr fontId="5"/>
  </si>
  <si>
    <t>042-649-9083</t>
    <phoneticPr fontId="5"/>
  </si>
  <si>
    <t>株式会社AT</t>
    <rPh sb="0" eb="4">
      <t>カブシキガイシャ</t>
    </rPh>
    <phoneticPr fontId="11"/>
  </si>
  <si>
    <t>213-0021</t>
    <phoneticPr fontId="5"/>
  </si>
  <si>
    <t>3-42</t>
    <phoneticPr fontId="5"/>
  </si>
  <si>
    <t>指定訪問看護アットリハ椚田町</t>
    <rPh sb="0" eb="6">
      <t>シテイホウモンカンゴ</t>
    </rPh>
    <rPh sb="11" eb="14">
      <t>クヌギダマチ</t>
    </rPh>
    <phoneticPr fontId="5"/>
  </si>
  <si>
    <t>193-0942</t>
    <phoneticPr fontId="5"/>
  </si>
  <si>
    <t>八王子市椚田町５６５－１</t>
    <rPh sb="0" eb="4">
      <t>ハチオウジシ</t>
    </rPh>
    <rPh sb="4" eb="7">
      <t>クヌギダマチ</t>
    </rPh>
    <phoneticPr fontId="5"/>
  </si>
  <si>
    <t>042-629-9751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</si>
</sst>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0"/>
    <numFmt numFmtId="177" formatCode="[$-411]ggge&quot;年&quot;m&quot;月&quot;d&quot;日&quot;;@"/>
    <numFmt numFmtId="178" formatCode="[$]ggge&quot;年&quot;m&quot;月&quot;d&quot;日&quot;;@" x16r2:formatCode16="[$-ja-JP-x-gannen]ggge&quot;年&quot;m&quot;月&quot;d&quot;日&quot;;@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5">
    <xf numFmtId="0" fontId="0" fillId="0" borderId="0" xfId="0">
      <alignment vertical="center"/>
    </xf>
    <xf numFmtId="49" fontId="3" fillId="2" borderId="0" xfId="1" applyNumberFormat="1" applyFont="1" applyFill="1">
      <alignment vertical="center"/>
    </xf>
    <xf numFmtId="0" fontId="3" fillId="2" borderId="0" xfId="1" applyFont="1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176" fontId="2" fillId="2" borderId="0" xfId="1" applyNumberFormat="1" applyFill="1">
      <alignment vertical="center"/>
    </xf>
    <xf numFmtId="0" fontId="2" fillId="2" borderId="0" xfId="1" applyFill="1" applyAlignment="1">
      <alignment vertical="center" wrapText="1"/>
    </xf>
    <xf numFmtId="49" fontId="2" fillId="2" borderId="0" xfId="1" applyNumberFormat="1" applyFill="1" applyAlignment="1">
      <alignment vertical="center" wrapText="1"/>
    </xf>
    <xf numFmtId="0" fontId="2" fillId="0" borderId="0" xfId="1" applyAlignment="1">
      <alignment vertical="center" wrapText="1"/>
    </xf>
    <xf numFmtId="0" fontId="2" fillId="2" borderId="0" xfId="1" applyFill="1" applyAlignment="1">
      <alignment horizontal="left" vertical="center"/>
    </xf>
    <xf numFmtId="0" fontId="2" fillId="2" borderId="0" xfId="1" applyFill="1" applyAlignment="1">
      <alignment horizontal="left" vertical="center" wrapText="1"/>
    </xf>
    <xf numFmtId="0" fontId="2" fillId="0" borderId="0" xfId="1">
      <alignment vertical="center"/>
    </xf>
    <xf numFmtId="49" fontId="2" fillId="2" borderId="0" xfId="1" applyNumberFormat="1" applyFill="1" applyAlignment="1">
      <alignment horizontal="center" vertical="center"/>
    </xf>
    <xf numFmtId="0" fontId="2" fillId="2" borderId="0" xfId="1" applyFill="1">
      <alignment vertical="center"/>
    </xf>
    <xf numFmtId="49" fontId="2" fillId="2" borderId="0" xfId="1" applyNumberFormat="1" applyFill="1">
      <alignment vertical="center"/>
    </xf>
    <xf numFmtId="0" fontId="2" fillId="0" borderId="1" xfId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49" fontId="2" fillId="2" borderId="3" xfId="1" applyNumberForma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2" fillId="2" borderId="4" xfId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" fillId="3" borderId="4" xfId="1" applyFill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 wrapText="1"/>
    </xf>
    <xf numFmtId="0" fontId="2" fillId="0" borderId="3" xfId="1" applyBorder="1" applyAlignment="1">
      <alignment horizontal="center" vertical="center"/>
    </xf>
    <xf numFmtId="49" fontId="2" fillId="4" borderId="3" xfId="1" applyNumberFormat="1" applyFill="1" applyBorder="1" applyAlignment="1">
      <alignment horizontal="center" vertical="center"/>
    </xf>
    <xf numFmtId="49" fontId="2" fillId="4" borderId="3" xfId="1" applyNumberFormat="1" applyFill="1" applyBorder="1" applyAlignment="1">
      <alignment horizontal="center" vertical="center" wrapText="1"/>
    </xf>
    <xf numFmtId="49" fontId="2" fillId="2" borderId="7" xfId="1" applyNumberForma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 wrapText="1"/>
    </xf>
    <xf numFmtId="176" fontId="2" fillId="2" borderId="3" xfId="1" applyNumberFormat="1" applyFill="1" applyBorder="1" applyAlignment="1">
      <alignment horizontal="center" vertical="center"/>
    </xf>
    <xf numFmtId="176" fontId="8" fillId="5" borderId="8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2" fillId="2" borderId="9" xfId="1" applyFill="1" applyBorder="1" applyAlignment="1">
      <alignment horizontal="center" vertical="center" wrapText="1"/>
    </xf>
    <xf numFmtId="49" fontId="2" fillId="2" borderId="3" xfId="1" applyNumberFormat="1" applyFill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2" borderId="7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 wrapText="1"/>
    </xf>
    <xf numFmtId="0" fontId="2" fillId="0" borderId="7" xfId="1" applyBorder="1" applyAlignment="1">
      <alignment horizontal="center" vertical="center"/>
    </xf>
    <xf numFmtId="49" fontId="2" fillId="4" borderId="7" xfId="1" applyNumberFormat="1" applyFill="1" applyBorder="1" applyAlignment="1">
      <alignment horizontal="center" vertical="center"/>
    </xf>
    <xf numFmtId="49" fontId="2" fillId="4" borderId="7" xfId="1" applyNumberFormat="1" applyFill="1" applyBorder="1" applyAlignment="1">
      <alignment horizontal="center" vertical="center" wrapText="1"/>
    </xf>
    <xf numFmtId="49" fontId="2" fillId="0" borderId="11" xfId="1" applyNumberFormat="1" applyBorder="1">
      <alignment vertical="center"/>
    </xf>
    <xf numFmtId="0" fontId="2" fillId="0" borderId="11" xfId="1" applyBorder="1" applyAlignment="1">
      <alignment horizontal="center" vertical="center"/>
    </xf>
    <xf numFmtId="176" fontId="2" fillId="0" borderId="11" xfId="1" applyNumberFormat="1" applyBorder="1">
      <alignment vertical="center"/>
    </xf>
    <xf numFmtId="176" fontId="9" fillId="0" borderId="12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0" fontId="2" fillId="0" borderId="11" xfId="1" applyBorder="1" applyAlignment="1">
      <alignment vertical="center" wrapText="1"/>
    </xf>
    <xf numFmtId="49" fontId="2" fillId="0" borderId="11" xfId="1" applyNumberFormat="1" applyBorder="1" applyAlignment="1">
      <alignment vertical="center" wrapText="1"/>
    </xf>
    <xf numFmtId="0" fontId="2" fillId="3" borderId="11" xfId="1" applyFill="1" applyBorder="1" applyAlignment="1">
      <alignment vertical="center" wrapText="1"/>
    </xf>
    <xf numFmtId="58" fontId="2" fillId="0" borderId="11" xfId="1" applyNumberFormat="1" applyBorder="1" applyAlignment="1">
      <alignment horizontal="center" vertical="center"/>
    </xf>
    <xf numFmtId="58" fontId="2" fillId="0" borderId="2" xfId="1" applyNumberFormat="1" applyBorder="1" applyAlignment="1">
      <alignment horizontal="center" vertical="center"/>
    </xf>
    <xf numFmtId="177" fontId="2" fillId="0" borderId="11" xfId="1" applyNumberFormat="1" applyBorder="1" applyAlignment="1">
      <alignment horizontal="center" vertical="center"/>
    </xf>
    <xf numFmtId="0" fontId="2" fillId="0" borderId="11" xfId="1" applyBorder="1" applyAlignment="1">
      <alignment horizontal="center" vertical="center" wrapText="1"/>
    </xf>
    <xf numFmtId="49" fontId="2" fillId="0" borderId="11" xfId="1" applyNumberFormat="1" applyBorder="1" applyAlignment="1">
      <alignment horizontal="center" vertical="center"/>
    </xf>
    <xf numFmtId="0" fontId="2" fillId="0" borderId="11" xfId="1" applyBorder="1">
      <alignment vertical="center"/>
    </xf>
    <xf numFmtId="0" fontId="0" fillId="0" borderId="2" xfId="0" applyBorder="1">
      <alignment vertical="center"/>
    </xf>
    <xf numFmtId="49" fontId="2" fillId="0" borderId="1" xfId="1" applyNumberFormat="1" applyBorder="1">
      <alignment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center" vertical="center"/>
    </xf>
    <xf numFmtId="176" fontId="2" fillId="0" borderId="1" xfId="1" applyNumberFormat="1" applyBorder="1">
      <alignment vertical="center"/>
    </xf>
    <xf numFmtId="49" fontId="2" fillId="0" borderId="1" xfId="1" applyNumberFormat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58" fontId="2" fillId="0" borderId="1" xfId="1" applyNumberFormat="1" applyBorder="1" applyAlignment="1">
      <alignment horizontal="center" vertical="center"/>
    </xf>
    <xf numFmtId="177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/>
    </xf>
    <xf numFmtId="0" fontId="2" fillId="0" borderId="1" xfId="1" applyBorder="1">
      <alignment vertical="center"/>
    </xf>
    <xf numFmtId="0" fontId="2" fillId="0" borderId="1" xfId="1" applyBorder="1" applyAlignment="1">
      <alignment horizontal="left" vertical="top" wrapText="1"/>
    </xf>
    <xf numFmtId="0" fontId="2" fillId="0" borderId="3" xfId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2" fillId="0" borderId="1" xfId="1" applyNumberFormat="1" applyBorder="1" applyAlignment="1">
      <alignment vertical="center" wrapText="1"/>
    </xf>
    <xf numFmtId="58" fontId="2" fillId="0" borderId="1" xfId="1" applyNumberFormat="1" applyBorder="1" applyAlignment="1">
      <alignment horizontal="center" vertical="center" wrapText="1"/>
    </xf>
    <xf numFmtId="177" fontId="2" fillId="0" borderId="1" xfId="1" applyNumberFormat="1" applyBorder="1" applyAlignment="1">
      <alignment horizontal="center" vertical="center" wrapText="1"/>
    </xf>
    <xf numFmtId="0" fontId="2" fillId="0" borderId="2" xfId="1" applyBorder="1">
      <alignment vertical="center"/>
    </xf>
    <xf numFmtId="176" fontId="2" fillId="0" borderId="1" xfId="1" applyNumberFormat="1" applyBorder="1" applyAlignment="1">
      <alignment horizontal="right" vertical="center"/>
    </xf>
    <xf numFmtId="0" fontId="2" fillId="3" borderId="2" xfId="1" applyFill="1" applyBorder="1" applyAlignment="1">
      <alignment vertical="center" wrapText="1"/>
    </xf>
    <xf numFmtId="0" fontId="2" fillId="2" borderId="1" xfId="1" applyFill="1" applyBorder="1">
      <alignment vertical="center"/>
    </xf>
    <xf numFmtId="49" fontId="2" fillId="0" borderId="1" xfId="1" applyNumberFormat="1" applyBorder="1" applyAlignment="1">
      <alignment horizontal="right" vertical="center"/>
    </xf>
    <xf numFmtId="58" fontId="2" fillId="2" borderId="1" xfId="1" applyNumberFormat="1" applyFill="1" applyBorder="1" applyAlignment="1">
      <alignment horizontal="center" vertical="center"/>
    </xf>
    <xf numFmtId="177" fontId="2" fillId="2" borderId="1" xfId="1" applyNumberFormat="1" applyFill="1" applyBorder="1" applyAlignment="1">
      <alignment horizontal="center" vertical="center"/>
    </xf>
    <xf numFmtId="49" fontId="2" fillId="2" borderId="3" xfId="1" applyNumberFormat="1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 wrapText="1"/>
    </xf>
    <xf numFmtId="49" fontId="2" fillId="2" borderId="1" xfId="1" applyNumberForma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176" fontId="2" fillId="0" borderId="3" xfId="1" applyNumberForma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49" fontId="2" fillId="0" borderId="3" xfId="1" applyNumberFormat="1" applyBorder="1" applyAlignment="1">
      <alignment vertical="center" wrapText="1"/>
    </xf>
    <xf numFmtId="49" fontId="2" fillId="3" borderId="3" xfId="1" applyNumberFormat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58" fontId="2" fillId="0" borderId="3" xfId="1" applyNumberFormat="1" applyBorder="1" applyAlignment="1">
      <alignment horizontal="center" vertical="center"/>
    </xf>
    <xf numFmtId="177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3" xfId="1" applyBorder="1">
      <alignment vertical="center"/>
    </xf>
    <xf numFmtId="49" fontId="2" fillId="3" borderId="1" xfId="1" applyNumberFormat="1" applyFill="1" applyBorder="1" applyAlignment="1">
      <alignment vertical="center" wrapText="1"/>
    </xf>
    <xf numFmtId="49" fontId="2" fillId="2" borderId="1" xfId="1" applyNumberFormat="1" applyFill="1" applyBorder="1" applyAlignment="1">
      <alignment horizontal="center" vertical="center"/>
    </xf>
    <xf numFmtId="0" fontId="2" fillId="6" borderId="1" xfId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shrinkToFit="1"/>
    </xf>
    <xf numFmtId="49" fontId="2" fillId="2" borderId="1" xfId="1" applyNumberForma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58" fontId="9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76" fontId="9" fillId="2" borderId="1" xfId="0" applyNumberFormat="1" applyFont="1" applyFill="1" applyBorder="1">
      <alignment vertical="center"/>
    </xf>
    <xf numFmtId="177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178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6" borderId="1" xfId="0" applyFont="1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9" fillId="0" borderId="13" xfId="1" applyFont="1" applyBorder="1" applyAlignment="1">
      <alignment vertical="center" wrapText="1" shrinkToFit="1"/>
    </xf>
    <xf numFmtId="0" fontId="0" fillId="6" borderId="1" xfId="0" applyFill="1" applyBorder="1" applyAlignment="1">
      <alignment vertical="center" wrapText="1"/>
    </xf>
    <xf numFmtId="0" fontId="9" fillId="0" borderId="2" xfId="1" applyFont="1" applyBorder="1" applyAlignment="1">
      <alignment vertical="center" wrapText="1" shrinkToFit="1"/>
    </xf>
    <xf numFmtId="177" fontId="1" fillId="0" borderId="1" xfId="1" applyNumberFormat="1" applyFont="1" applyBorder="1" applyAlignment="1">
      <alignment vertical="center" shrinkToFit="1"/>
    </xf>
    <xf numFmtId="177" fontId="1" fillId="7" borderId="1" xfId="1" applyNumberFormat="1" applyFont="1" applyFill="1" applyBorder="1" applyAlignment="1">
      <alignment horizontal="left" vertical="center" shrinkToFit="1"/>
    </xf>
    <xf numFmtId="58" fontId="9" fillId="6" borderId="1" xfId="0" applyNumberFormat="1" applyFont="1" applyFill="1" applyBorder="1" applyAlignment="1">
      <alignment horizontal="center" vertical="center"/>
    </xf>
    <xf numFmtId="0" fontId="9" fillId="0" borderId="13" xfId="1" applyFont="1" applyBorder="1" applyAlignment="1">
      <alignment vertical="center" shrinkToFit="1"/>
    </xf>
    <xf numFmtId="177" fontId="7" fillId="0" borderId="1" xfId="1" applyNumberFormat="1" applyFont="1" applyBorder="1" applyAlignment="1">
      <alignment vertical="center" shrinkToFit="1"/>
    </xf>
    <xf numFmtId="177" fontId="7" fillId="7" borderId="1" xfId="1" applyNumberFormat="1" applyFont="1" applyFill="1" applyBorder="1" applyAlignment="1">
      <alignment horizontal="left" vertical="center" shrinkToFit="1"/>
    </xf>
    <xf numFmtId="177" fontId="7" fillId="0" borderId="2" xfId="1" applyNumberFormat="1" applyFont="1" applyBorder="1" applyAlignment="1">
      <alignment vertical="center" shrinkToFit="1"/>
    </xf>
    <xf numFmtId="177" fontId="0" fillId="0" borderId="2" xfId="1" applyNumberFormat="1" applyFont="1" applyBorder="1" applyAlignment="1">
      <alignment vertical="center" shrinkToFit="1"/>
    </xf>
    <xf numFmtId="177" fontId="0" fillId="7" borderId="1" xfId="1" applyNumberFormat="1" applyFont="1" applyFill="1" applyBorder="1" applyAlignment="1">
      <alignment horizontal="left" vertical="center" shrinkToFit="1"/>
    </xf>
    <xf numFmtId="177" fontId="0" fillId="7" borderId="1" xfId="1" applyNumberFormat="1" applyFont="1" applyFill="1" applyBorder="1" applyAlignment="1">
      <alignment horizontal="left" vertical="center" wrapText="1" shrinkToFit="1"/>
    </xf>
    <xf numFmtId="0" fontId="10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標準" xfId="0" builtinId="0"/>
    <cellStyle name="標準 2" xfId="1" xr:uid="{4862D277-40B3-4997-90F6-901F3D570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8F2C-46E8-4431-8E57-E6FA8D74E0A5}">
  <sheetPr>
    <pageSetUpPr fitToPage="1"/>
  </sheetPr>
  <dimension ref="A1:AE45"/>
  <sheetViews>
    <sheetView tabSelected="1" view="pageBreakPreview" zoomScale="70" zoomScaleNormal="78" zoomScaleSheetLayoutView="70" workbookViewId="0">
      <pane ySplit="3" topLeftCell="A5" activePane="bottomLeft" state="frozen"/>
      <selection activeCell="H34" activeCellId="4" sqref="W91 X88 AH88 H38 H34"/>
      <selection pane="bottomLeft" activeCell="N71" sqref="N71"/>
    </sheetView>
  </sheetViews>
  <sheetFormatPr defaultRowHeight="13.5" outlineLevelCol="1" x14ac:dyDescent="0.15"/>
  <cols>
    <col min="2" max="2" width="12.25" style="143" customWidth="1" outlineLevel="1"/>
    <col min="3" max="3" width="9" style="143" customWidth="1" outlineLevel="1"/>
    <col min="4" max="4" width="9.5" bestFit="1" customWidth="1"/>
    <col min="5" max="5" width="11.875" hidden="1" customWidth="1" outlineLevel="1"/>
    <col min="6" max="6" width="9.5" hidden="1" customWidth="1" outlineLevel="1"/>
    <col min="7" max="7" width="29.125" customWidth="1" collapsed="1"/>
    <col min="8" max="8" width="6.25" customWidth="1"/>
    <col min="9" max="9" width="7.375" customWidth="1"/>
    <col min="10" max="10" width="35.375" customWidth="1"/>
    <col min="11" max="11" width="9" customWidth="1"/>
    <col min="12" max="12" width="26.875" customWidth="1" outlineLevel="1"/>
    <col min="13" max="13" width="9" customWidth="1" outlineLevel="1"/>
    <col min="14" max="14" width="35.375" customWidth="1" outlineLevel="1"/>
    <col min="15" max="15" width="17.875" customWidth="1" outlineLevel="1"/>
    <col min="16" max="16" width="17.25" customWidth="1"/>
    <col min="17" max="17" width="18" customWidth="1" outlineLevel="1"/>
    <col min="18" max="18" width="20.5" customWidth="1" outlineLevel="1"/>
    <col min="19" max="19" width="18" customWidth="1" outlineLevel="1"/>
    <col min="20" max="20" width="20.5" customWidth="1" outlineLevel="1"/>
    <col min="21" max="21" width="20.5" bestFit="1" customWidth="1"/>
    <col min="22" max="25" width="8.875" customWidth="1" outlineLevel="1"/>
    <col min="26" max="26" width="29.5" style="144" customWidth="1" outlineLevel="1"/>
    <col min="27" max="28" width="29.5" customWidth="1" outlineLevel="1"/>
    <col min="29" max="31" width="30.375" customWidth="1" outlineLevel="1"/>
    <col min="32" max="33" width="27.125" customWidth="1"/>
  </cols>
  <sheetData>
    <row r="1" spans="1:31" ht="49.5" customHeight="1" x14ac:dyDescent="0.15">
      <c r="A1" s="1" t="s">
        <v>0</v>
      </c>
      <c r="B1" s="2"/>
      <c r="C1" s="3"/>
      <c r="D1" s="4"/>
      <c r="E1" s="4"/>
      <c r="F1" s="4"/>
      <c r="G1" s="5"/>
      <c r="H1" s="5"/>
      <c r="I1" s="6"/>
      <c r="J1" s="5"/>
      <c r="K1" s="5"/>
      <c r="L1" s="7"/>
      <c r="M1" s="7"/>
      <c r="N1" s="7"/>
      <c r="O1" s="8"/>
      <c r="P1" s="8"/>
      <c r="Q1" s="8"/>
      <c r="R1" s="9"/>
      <c r="S1" s="10"/>
      <c r="T1" s="10"/>
      <c r="U1" s="11"/>
      <c r="V1" s="12"/>
      <c r="W1" s="12"/>
      <c r="X1" s="13"/>
      <c r="Y1" s="13"/>
      <c r="Z1" s="14" t="s">
        <v>1</v>
      </c>
      <c r="AA1" s="15"/>
      <c r="AB1" s="7" t="s">
        <v>2</v>
      </c>
    </row>
    <row r="2" spans="1:31" ht="30" customHeight="1" x14ac:dyDescent="0.15">
      <c r="A2" s="16" t="s">
        <v>3</v>
      </c>
      <c r="B2" s="17" t="s">
        <v>4</v>
      </c>
      <c r="C2" s="17" t="s">
        <v>5</v>
      </c>
      <c r="D2" s="18" t="s">
        <v>6</v>
      </c>
      <c r="E2" s="19"/>
      <c r="F2" s="19"/>
      <c r="G2" s="19"/>
      <c r="H2" s="19"/>
      <c r="I2" s="19"/>
      <c r="J2" s="19"/>
      <c r="K2" s="20"/>
      <c r="L2" s="21" t="s">
        <v>7</v>
      </c>
      <c r="M2" s="22"/>
      <c r="N2" s="23"/>
      <c r="O2" s="24" t="s">
        <v>8</v>
      </c>
      <c r="P2" s="25" t="s">
        <v>9</v>
      </c>
      <c r="Q2" s="24" t="s">
        <v>9</v>
      </c>
      <c r="R2" s="26" t="s">
        <v>10</v>
      </c>
      <c r="S2" s="27" t="s">
        <v>11</v>
      </c>
      <c r="T2" s="27" t="s">
        <v>10</v>
      </c>
      <c r="U2" s="16" t="s">
        <v>12</v>
      </c>
      <c r="V2" s="27" t="s">
        <v>13</v>
      </c>
      <c r="W2" s="27" t="s">
        <v>14</v>
      </c>
      <c r="X2" s="28" t="s">
        <v>15</v>
      </c>
      <c r="Y2" s="29" t="s">
        <v>16</v>
      </c>
      <c r="Z2" s="26" t="s">
        <v>17</v>
      </c>
      <c r="AA2" s="26" t="s">
        <v>18</v>
      </c>
      <c r="AB2" s="26" t="s">
        <v>19</v>
      </c>
      <c r="AC2" s="26" t="s">
        <v>20</v>
      </c>
      <c r="AD2" s="26" t="s">
        <v>21</v>
      </c>
      <c r="AE2" s="26" t="s">
        <v>21</v>
      </c>
    </row>
    <row r="3" spans="1:31" ht="30" customHeight="1" thickBot="1" x14ac:dyDescent="0.2">
      <c r="A3" s="30"/>
      <c r="B3" s="31"/>
      <c r="C3" s="31"/>
      <c r="D3" s="32" t="s">
        <v>22</v>
      </c>
      <c r="E3" s="33" t="s">
        <v>23</v>
      </c>
      <c r="F3" s="34" t="s">
        <v>24</v>
      </c>
      <c r="G3" s="35" t="s">
        <v>25</v>
      </c>
      <c r="H3" s="36" t="s">
        <v>26</v>
      </c>
      <c r="I3" s="37" t="s">
        <v>27</v>
      </c>
      <c r="J3" s="35" t="s">
        <v>28</v>
      </c>
      <c r="K3" s="36" t="s">
        <v>29</v>
      </c>
      <c r="L3" s="38" t="s">
        <v>30</v>
      </c>
      <c r="M3" s="39" t="s">
        <v>31</v>
      </c>
      <c r="N3" s="39" t="s">
        <v>28</v>
      </c>
      <c r="O3" s="40"/>
      <c r="P3" s="41" t="s">
        <v>32</v>
      </c>
      <c r="Q3" s="40"/>
      <c r="R3" s="42"/>
      <c r="S3" s="43"/>
      <c r="T3" s="43"/>
      <c r="U3" s="30"/>
      <c r="V3" s="43"/>
      <c r="W3" s="43"/>
      <c r="X3" s="44"/>
      <c r="Y3" s="45"/>
      <c r="Z3" s="42"/>
      <c r="AA3" s="42"/>
      <c r="AB3" s="42"/>
      <c r="AC3" s="42"/>
      <c r="AD3" s="42"/>
      <c r="AE3" s="42"/>
    </row>
    <row r="4" spans="1:31" ht="27.75" customHeight="1" thickTop="1" x14ac:dyDescent="0.15">
      <c r="A4" s="46" t="s">
        <v>33</v>
      </c>
      <c r="B4" s="47"/>
      <c r="C4" s="47"/>
      <c r="D4" s="48">
        <v>7191778</v>
      </c>
      <c r="E4" s="49" t="str">
        <f>"136"&amp;D4</f>
        <v>1367191778</v>
      </c>
      <c r="F4" s="50" t="str">
        <f>IF(E4=E3,"二重","　")</f>
        <v>　</v>
      </c>
      <c r="G4" s="51" t="s">
        <v>34</v>
      </c>
      <c r="H4" s="52" t="s">
        <v>35</v>
      </c>
      <c r="I4" s="52" t="s">
        <v>36</v>
      </c>
      <c r="J4" s="51" t="s">
        <v>37</v>
      </c>
      <c r="K4" s="51" t="s">
        <v>38</v>
      </c>
      <c r="L4" s="51" t="s">
        <v>39</v>
      </c>
      <c r="M4" s="53" t="s">
        <v>40</v>
      </c>
      <c r="N4" s="53" t="s">
        <v>41</v>
      </c>
      <c r="O4" s="54">
        <v>40137</v>
      </c>
      <c r="P4" s="55">
        <v>40210</v>
      </c>
      <c r="Q4" s="56">
        <v>40210</v>
      </c>
      <c r="R4" s="57" t="s">
        <v>42</v>
      </c>
      <c r="S4" s="54">
        <v>44593</v>
      </c>
      <c r="T4" s="47" t="s">
        <v>43</v>
      </c>
      <c r="U4" s="58" t="s">
        <v>44</v>
      </c>
      <c r="V4" s="59">
        <v>1</v>
      </c>
      <c r="W4" s="59">
        <v>1</v>
      </c>
      <c r="X4" s="59">
        <v>42202</v>
      </c>
      <c r="Y4" s="59"/>
      <c r="Z4" s="52"/>
      <c r="AA4" s="46"/>
      <c r="AB4" s="46"/>
      <c r="AC4" s="60"/>
      <c r="AD4" s="60"/>
      <c r="AE4" s="60"/>
    </row>
    <row r="5" spans="1:31" ht="94.5" x14ac:dyDescent="0.15">
      <c r="A5" s="61" t="s">
        <v>45</v>
      </c>
      <c r="B5" s="62"/>
      <c r="C5" s="63"/>
      <c r="D5" s="64">
        <v>7399256</v>
      </c>
      <c r="E5" s="50" t="str">
        <f t="shared" ref="E5:E45" si="0">"136"&amp;D5</f>
        <v>1367399256</v>
      </c>
      <c r="F5" s="50" t="str">
        <f t="shared" ref="F5:F26" si="1">IF(E5=E4,"二重","　")</f>
        <v>　</v>
      </c>
      <c r="G5" s="14" t="s">
        <v>46</v>
      </c>
      <c r="H5" s="14" t="s">
        <v>47</v>
      </c>
      <c r="I5" s="65" t="s">
        <v>36</v>
      </c>
      <c r="J5" s="14" t="s">
        <v>48</v>
      </c>
      <c r="K5" s="14" t="s">
        <v>49</v>
      </c>
      <c r="L5" s="14" t="s">
        <v>50</v>
      </c>
      <c r="M5" s="66" t="s">
        <v>51</v>
      </c>
      <c r="N5" s="66" t="s">
        <v>52</v>
      </c>
      <c r="O5" s="67">
        <v>39106</v>
      </c>
      <c r="P5" s="67">
        <v>38808</v>
      </c>
      <c r="Q5" s="68">
        <v>39114</v>
      </c>
      <c r="R5" s="69" t="s">
        <v>53</v>
      </c>
      <c r="S5" s="67">
        <v>45658</v>
      </c>
      <c r="T5" s="63" t="s">
        <v>54</v>
      </c>
      <c r="U5" s="70" t="s">
        <v>44</v>
      </c>
      <c r="V5" s="71">
        <v>1</v>
      </c>
      <c r="W5" s="71">
        <v>1</v>
      </c>
      <c r="X5" s="71">
        <v>41902</v>
      </c>
      <c r="Y5" s="71"/>
      <c r="Z5" s="14" t="s">
        <v>55</v>
      </c>
      <c r="AA5" s="72" t="s">
        <v>56</v>
      </c>
      <c r="AB5" s="14" t="s">
        <v>57</v>
      </c>
      <c r="AC5" s="14" t="s">
        <v>58</v>
      </c>
      <c r="AD5" s="14" t="s">
        <v>59</v>
      </c>
      <c r="AE5" s="14" t="s">
        <v>60</v>
      </c>
    </row>
    <row r="6" spans="1:31" ht="81" x14ac:dyDescent="0.15">
      <c r="A6" s="61" t="s">
        <v>61</v>
      </c>
      <c r="B6" s="62"/>
      <c r="C6" s="63"/>
      <c r="D6" s="64">
        <v>7192552</v>
      </c>
      <c r="E6" s="50" t="str">
        <f t="shared" si="0"/>
        <v>1367192552</v>
      </c>
      <c r="F6" s="50" t="str">
        <f t="shared" si="1"/>
        <v>　</v>
      </c>
      <c r="G6" s="14" t="s">
        <v>62</v>
      </c>
      <c r="H6" s="14" t="s">
        <v>63</v>
      </c>
      <c r="I6" s="65" t="s">
        <v>36</v>
      </c>
      <c r="J6" s="14" t="s">
        <v>64</v>
      </c>
      <c r="K6" s="14" t="s">
        <v>65</v>
      </c>
      <c r="L6" s="14" t="s">
        <v>66</v>
      </c>
      <c r="M6" s="66" t="s">
        <v>63</v>
      </c>
      <c r="N6" s="66" t="s">
        <v>67</v>
      </c>
      <c r="O6" s="67">
        <v>39093</v>
      </c>
      <c r="P6" s="67">
        <v>38808</v>
      </c>
      <c r="Q6" s="68">
        <v>39114</v>
      </c>
      <c r="R6" s="73" t="s">
        <v>53</v>
      </c>
      <c r="S6" s="67">
        <v>45658</v>
      </c>
      <c r="T6" s="63" t="s">
        <v>68</v>
      </c>
      <c r="U6" s="70" t="s">
        <v>44</v>
      </c>
      <c r="V6" s="71">
        <v>1</v>
      </c>
      <c r="W6" s="71">
        <v>1</v>
      </c>
      <c r="X6" s="71">
        <v>41902</v>
      </c>
      <c r="Y6" s="71"/>
      <c r="Z6" s="14" t="s">
        <v>69</v>
      </c>
      <c r="AA6" s="14" t="s">
        <v>70</v>
      </c>
      <c r="AB6" s="14" t="s">
        <v>71</v>
      </c>
      <c r="AC6" s="14"/>
      <c r="AD6" s="74"/>
      <c r="AE6" s="74"/>
    </row>
    <row r="7" spans="1:31" ht="27" x14ac:dyDescent="0.15">
      <c r="A7" s="61" t="s">
        <v>72</v>
      </c>
      <c r="B7" s="71"/>
      <c r="C7" s="69" t="s">
        <v>73</v>
      </c>
      <c r="D7" s="64">
        <v>7198534</v>
      </c>
      <c r="E7" s="50" t="str">
        <f t="shared" si="0"/>
        <v>1367198534</v>
      </c>
      <c r="F7" s="50" t="str">
        <f t="shared" si="1"/>
        <v>　</v>
      </c>
      <c r="G7" s="14" t="s">
        <v>74</v>
      </c>
      <c r="H7" s="75" t="s">
        <v>75</v>
      </c>
      <c r="I7" s="65" t="s">
        <v>36</v>
      </c>
      <c r="J7" s="14" t="s">
        <v>76</v>
      </c>
      <c r="K7" s="14" t="s">
        <v>77</v>
      </c>
      <c r="L7" s="14" t="s">
        <v>78</v>
      </c>
      <c r="M7" s="66"/>
      <c r="N7" s="66"/>
      <c r="O7" s="76">
        <v>39350</v>
      </c>
      <c r="P7" s="76">
        <v>39417</v>
      </c>
      <c r="Q7" s="68">
        <v>39417</v>
      </c>
      <c r="R7" s="73" t="s">
        <v>79</v>
      </c>
      <c r="S7" s="70"/>
      <c r="T7" s="69"/>
      <c r="U7" s="70" t="s">
        <v>44</v>
      </c>
      <c r="V7" s="71">
        <v>1</v>
      </c>
      <c r="W7" s="71">
        <v>1</v>
      </c>
      <c r="X7" s="71">
        <v>41912</v>
      </c>
      <c r="Y7" s="71">
        <v>42511</v>
      </c>
      <c r="Z7" s="14" t="s">
        <v>80</v>
      </c>
      <c r="AA7" s="14"/>
      <c r="AB7" s="14"/>
      <c r="AC7" s="74"/>
      <c r="AD7" s="74"/>
      <c r="AE7" s="74"/>
    </row>
    <row r="8" spans="1:31" ht="27" x14ac:dyDescent="0.15">
      <c r="A8" s="61" t="s">
        <v>81</v>
      </c>
      <c r="B8" s="71"/>
      <c r="C8" s="63" t="s">
        <v>73</v>
      </c>
      <c r="D8" s="64">
        <v>7198997</v>
      </c>
      <c r="E8" s="50" t="str">
        <f t="shared" si="0"/>
        <v>1367198997</v>
      </c>
      <c r="F8" s="50" t="str">
        <f t="shared" si="1"/>
        <v>　</v>
      </c>
      <c r="G8" s="14" t="s">
        <v>82</v>
      </c>
      <c r="H8" s="14" t="s">
        <v>83</v>
      </c>
      <c r="I8" s="65" t="s">
        <v>36</v>
      </c>
      <c r="J8" s="75" t="s">
        <v>84</v>
      </c>
      <c r="K8" s="14" t="s">
        <v>85</v>
      </c>
      <c r="L8" s="14" t="s">
        <v>86</v>
      </c>
      <c r="M8" s="66"/>
      <c r="N8" s="66"/>
      <c r="O8" s="76">
        <v>39708</v>
      </c>
      <c r="P8" s="76">
        <v>39783</v>
      </c>
      <c r="Q8" s="77">
        <v>39783</v>
      </c>
      <c r="R8" s="73" t="s">
        <v>87</v>
      </c>
      <c r="S8" s="69"/>
      <c r="T8" s="69"/>
      <c r="U8" s="70" t="s">
        <v>44</v>
      </c>
      <c r="V8" s="71">
        <v>1</v>
      </c>
      <c r="W8" s="71">
        <v>1</v>
      </c>
      <c r="X8" s="78">
        <v>42012</v>
      </c>
      <c r="Y8" s="71">
        <v>42307</v>
      </c>
      <c r="Z8" s="14" t="s">
        <v>88</v>
      </c>
      <c r="AA8" s="14"/>
      <c r="AB8" s="14"/>
      <c r="AC8" s="74"/>
      <c r="AD8" s="74"/>
      <c r="AE8" s="74"/>
    </row>
    <row r="9" spans="1:31" ht="27" x14ac:dyDescent="0.15">
      <c r="A9" s="61" t="s">
        <v>89</v>
      </c>
      <c r="B9" s="63"/>
      <c r="C9" s="63"/>
      <c r="D9" s="79">
        <v>7199839</v>
      </c>
      <c r="E9" s="50" t="str">
        <f t="shared" si="0"/>
        <v>1367199839</v>
      </c>
      <c r="F9" s="50" t="str">
        <f t="shared" si="1"/>
        <v>　</v>
      </c>
      <c r="G9" s="14" t="s">
        <v>90</v>
      </c>
      <c r="H9" s="65" t="s">
        <v>91</v>
      </c>
      <c r="I9" s="65" t="s">
        <v>36</v>
      </c>
      <c r="J9" s="14" t="s">
        <v>92</v>
      </c>
      <c r="K9" s="14" t="s">
        <v>93</v>
      </c>
      <c r="L9" s="14" t="s">
        <v>39</v>
      </c>
      <c r="M9" s="80" t="s">
        <v>40</v>
      </c>
      <c r="N9" s="80" t="s">
        <v>41</v>
      </c>
      <c r="O9" s="67">
        <v>40137</v>
      </c>
      <c r="P9" s="67">
        <v>40210</v>
      </c>
      <c r="Q9" s="68">
        <v>40210</v>
      </c>
      <c r="R9" s="73" t="s">
        <v>42</v>
      </c>
      <c r="S9" s="67">
        <v>44593</v>
      </c>
      <c r="T9" s="63" t="s">
        <v>94</v>
      </c>
      <c r="U9" s="70" t="s">
        <v>44</v>
      </c>
      <c r="V9" s="71">
        <v>1</v>
      </c>
      <c r="W9" s="71">
        <v>1</v>
      </c>
      <c r="X9" s="71">
        <v>42202</v>
      </c>
      <c r="Y9" s="71"/>
      <c r="Z9" s="65"/>
      <c r="AA9" s="61"/>
      <c r="AB9" s="61"/>
      <c r="AC9" s="74"/>
      <c r="AD9" s="74"/>
      <c r="AE9" s="74"/>
    </row>
    <row r="10" spans="1:31" ht="27" x14ac:dyDescent="0.15">
      <c r="A10" s="61" t="s">
        <v>95</v>
      </c>
      <c r="B10" s="81"/>
      <c r="C10" s="25" t="s">
        <v>96</v>
      </c>
      <c r="D10" s="82">
        <v>7292923</v>
      </c>
      <c r="E10" s="50" t="str">
        <f t="shared" si="0"/>
        <v>1367292923</v>
      </c>
      <c r="F10" s="50" t="str">
        <f t="shared" si="1"/>
        <v>　</v>
      </c>
      <c r="G10" s="14" t="s">
        <v>97</v>
      </c>
      <c r="H10" s="14" t="s">
        <v>98</v>
      </c>
      <c r="I10" s="14" t="s">
        <v>36</v>
      </c>
      <c r="J10" s="14" t="s">
        <v>99</v>
      </c>
      <c r="K10" s="14" t="s">
        <v>100</v>
      </c>
      <c r="L10" s="14" t="s">
        <v>101</v>
      </c>
      <c r="M10" s="66"/>
      <c r="N10" s="66" t="s">
        <v>102</v>
      </c>
      <c r="O10" s="76">
        <v>41388</v>
      </c>
      <c r="P10" s="83">
        <v>41487</v>
      </c>
      <c r="Q10" s="84">
        <v>41487</v>
      </c>
      <c r="R10" s="85" t="s">
        <v>103</v>
      </c>
      <c r="S10" s="86"/>
      <c r="T10" s="63"/>
      <c r="U10" s="69" t="s">
        <v>14</v>
      </c>
      <c r="V10" s="71"/>
      <c r="W10" s="71">
        <v>1</v>
      </c>
      <c r="X10" s="71">
        <v>42508</v>
      </c>
      <c r="Y10" s="71">
        <v>42904</v>
      </c>
      <c r="Z10" s="87" t="s">
        <v>104</v>
      </c>
      <c r="AA10" s="88" t="s">
        <v>105</v>
      </c>
      <c r="AB10" s="88"/>
      <c r="AC10" s="74"/>
      <c r="AD10" s="74"/>
      <c r="AE10" s="74"/>
    </row>
    <row r="11" spans="1:31" ht="40.5" x14ac:dyDescent="0.15">
      <c r="A11" s="61" t="s">
        <v>106</v>
      </c>
      <c r="B11" s="81"/>
      <c r="C11" s="25" t="s">
        <v>96</v>
      </c>
      <c r="D11" s="89">
        <v>7293095</v>
      </c>
      <c r="E11" s="50" t="str">
        <f t="shared" si="0"/>
        <v>1367293095</v>
      </c>
      <c r="F11" s="50" t="str">
        <f t="shared" si="1"/>
        <v>　</v>
      </c>
      <c r="G11" s="90" t="s">
        <v>107</v>
      </c>
      <c r="H11" s="91" t="s">
        <v>108</v>
      </c>
      <c r="I11" s="91" t="s">
        <v>36</v>
      </c>
      <c r="J11" s="90" t="s">
        <v>109</v>
      </c>
      <c r="K11" s="90" t="s">
        <v>110</v>
      </c>
      <c r="L11" s="90" t="s">
        <v>111</v>
      </c>
      <c r="M11" s="92" t="s">
        <v>112</v>
      </c>
      <c r="N11" s="93" t="s">
        <v>113</v>
      </c>
      <c r="O11" s="94">
        <v>41465</v>
      </c>
      <c r="P11" s="94">
        <v>41548</v>
      </c>
      <c r="Q11" s="95">
        <v>41548</v>
      </c>
      <c r="R11" s="96" t="s">
        <v>114</v>
      </c>
      <c r="S11" s="96"/>
      <c r="T11" s="85"/>
      <c r="U11" s="73" t="s">
        <v>44</v>
      </c>
      <c r="V11" s="71">
        <v>1</v>
      </c>
      <c r="W11" s="71">
        <v>1</v>
      </c>
      <c r="X11" s="71">
        <v>42510</v>
      </c>
      <c r="Y11" s="97">
        <v>42904</v>
      </c>
      <c r="Z11" s="90" t="s">
        <v>115</v>
      </c>
      <c r="AA11" s="88" t="s">
        <v>105</v>
      </c>
      <c r="AB11" s="81"/>
      <c r="AC11" s="74"/>
      <c r="AD11" s="74"/>
      <c r="AE11" s="74"/>
    </row>
    <row r="12" spans="1:31" ht="27" x14ac:dyDescent="0.15">
      <c r="A12" s="61" t="s">
        <v>116</v>
      </c>
      <c r="B12" s="71"/>
      <c r="C12" s="25" t="s">
        <v>96</v>
      </c>
      <c r="D12" s="64">
        <v>7293707</v>
      </c>
      <c r="E12" s="50" t="str">
        <f t="shared" si="0"/>
        <v>1367293707</v>
      </c>
      <c r="F12" s="50" t="str">
        <f t="shared" si="1"/>
        <v>　</v>
      </c>
      <c r="G12" s="14" t="s">
        <v>117</v>
      </c>
      <c r="H12" s="14" t="s">
        <v>118</v>
      </c>
      <c r="I12" s="65" t="s">
        <v>36</v>
      </c>
      <c r="J12" s="14" t="s">
        <v>119</v>
      </c>
      <c r="K12" s="14" t="s">
        <v>120</v>
      </c>
      <c r="L12" s="14" t="s">
        <v>121</v>
      </c>
      <c r="M12" s="98" t="s">
        <v>122</v>
      </c>
      <c r="N12" s="98" t="s">
        <v>123</v>
      </c>
      <c r="O12" s="67">
        <v>41667</v>
      </c>
      <c r="P12" s="67">
        <v>41730</v>
      </c>
      <c r="Q12" s="68">
        <v>41730</v>
      </c>
      <c r="R12" s="63" t="s">
        <v>124</v>
      </c>
      <c r="S12" s="99"/>
      <c r="T12" s="100"/>
      <c r="U12" s="101" t="s">
        <v>125</v>
      </c>
      <c r="V12" s="71">
        <v>1</v>
      </c>
      <c r="W12" s="71">
        <v>1</v>
      </c>
      <c r="X12" s="71">
        <v>42604</v>
      </c>
      <c r="Y12" s="71">
        <v>50204</v>
      </c>
      <c r="Z12" s="87" t="s">
        <v>126</v>
      </c>
      <c r="AA12" s="102"/>
      <c r="AB12" s="88"/>
      <c r="AC12" s="74"/>
      <c r="AD12" s="74"/>
      <c r="AE12" s="74"/>
    </row>
    <row r="13" spans="1:31" ht="27" x14ac:dyDescent="0.15">
      <c r="A13" s="61" t="s">
        <v>127</v>
      </c>
      <c r="B13" s="71"/>
      <c r="C13" s="63"/>
      <c r="D13" s="64">
        <v>7294150</v>
      </c>
      <c r="E13" s="50" t="str">
        <f t="shared" si="0"/>
        <v>1367294150</v>
      </c>
      <c r="F13" s="50" t="str">
        <f t="shared" si="1"/>
        <v>　</v>
      </c>
      <c r="G13" s="14" t="s">
        <v>128</v>
      </c>
      <c r="H13" s="14" t="s">
        <v>91</v>
      </c>
      <c r="I13" s="65" t="s">
        <v>36</v>
      </c>
      <c r="J13" s="14" t="s">
        <v>129</v>
      </c>
      <c r="K13" s="14" t="s">
        <v>130</v>
      </c>
      <c r="L13" s="14" t="s">
        <v>131</v>
      </c>
      <c r="M13" s="98" t="s">
        <v>132</v>
      </c>
      <c r="N13" s="98" t="s">
        <v>133</v>
      </c>
      <c r="O13" s="67">
        <v>41670</v>
      </c>
      <c r="P13" s="67">
        <v>41730</v>
      </c>
      <c r="Q13" s="68">
        <v>41730</v>
      </c>
      <c r="R13" s="63" t="s">
        <v>124</v>
      </c>
      <c r="S13" s="83">
        <v>46113</v>
      </c>
      <c r="T13" s="103" t="s">
        <v>134</v>
      </c>
      <c r="U13" s="101" t="s">
        <v>125</v>
      </c>
      <c r="V13" s="71">
        <v>1</v>
      </c>
      <c r="W13" s="71">
        <v>1</v>
      </c>
      <c r="X13" s="71">
        <v>42604</v>
      </c>
      <c r="Y13" s="71"/>
      <c r="Z13" s="87"/>
      <c r="AA13" s="102"/>
      <c r="AB13" s="88"/>
      <c r="AC13" s="74"/>
      <c r="AD13" s="74"/>
      <c r="AE13" s="74"/>
    </row>
    <row r="14" spans="1:31" ht="121.5" x14ac:dyDescent="0.15">
      <c r="A14" s="61" t="s">
        <v>135</v>
      </c>
      <c r="B14" s="62"/>
      <c r="C14" s="63"/>
      <c r="D14" s="64">
        <v>7294259</v>
      </c>
      <c r="E14" s="50" t="str">
        <f t="shared" si="0"/>
        <v>1367294259</v>
      </c>
      <c r="F14" s="50" t="str">
        <f t="shared" si="1"/>
        <v>　</v>
      </c>
      <c r="G14" s="14" t="s">
        <v>136</v>
      </c>
      <c r="H14" s="75" t="s">
        <v>137</v>
      </c>
      <c r="I14" s="14" t="s">
        <v>36</v>
      </c>
      <c r="J14" s="14" t="s">
        <v>138</v>
      </c>
      <c r="K14" s="65" t="s">
        <v>139</v>
      </c>
      <c r="L14" s="14" t="s">
        <v>140</v>
      </c>
      <c r="M14" s="66" t="s">
        <v>141</v>
      </c>
      <c r="N14" s="66" t="s">
        <v>142</v>
      </c>
      <c r="O14" s="76">
        <v>41774</v>
      </c>
      <c r="P14" s="67">
        <v>41852</v>
      </c>
      <c r="Q14" s="68">
        <v>41852</v>
      </c>
      <c r="R14" s="63" t="s">
        <v>143</v>
      </c>
      <c r="S14" s="76">
        <v>46204</v>
      </c>
      <c r="T14" s="103" t="s">
        <v>144</v>
      </c>
      <c r="U14" s="69" t="s">
        <v>44</v>
      </c>
      <c r="V14" s="71">
        <v>1</v>
      </c>
      <c r="W14" s="71">
        <v>1</v>
      </c>
      <c r="X14" s="71">
        <v>42608</v>
      </c>
      <c r="Y14" s="71"/>
      <c r="Z14" s="14" t="s">
        <v>145</v>
      </c>
      <c r="AA14" s="14" t="s">
        <v>146</v>
      </c>
      <c r="AB14" s="14" t="s">
        <v>147</v>
      </c>
      <c r="AC14" s="74"/>
      <c r="AD14" s="74"/>
      <c r="AE14" s="74"/>
    </row>
    <row r="15" spans="1:31" s="110" customFormat="1" ht="27" x14ac:dyDescent="0.15">
      <c r="A15" s="104" t="s">
        <v>148</v>
      </c>
      <c r="B15" s="105"/>
      <c r="C15" s="105"/>
      <c r="D15" s="104">
        <v>7295041</v>
      </c>
      <c r="E15" s="50" t="str">
        <f t="shared" si="0"/>
        <v>1367295041</v>
      </c>
      <c r="F15" s="50" t="str">
        <f t="shared" si="1"/>
        <v>　</v>
      </c>
      <c r="G15" s="104" t="s">
        <v>149</v>
      </c>
      <c r="H15" s="104" t="s">
        <v>150</v>
      </c>
      <c r="I15" s="104" t="s">
        <v>36</v>
      </c>
      <c r="J15" s="104" t="s">
        <v>151</v>
      </c>
      <c r="K15" s="104" t="s">
        <v>152</v>
      </c>
      <c r="L15" s="104" t="s">
        <v>153</v>
      </c>
      <c r="M15" s="106" t="s">
        <v>154</v>
      </c>
      <c r="N15" s="106" t="s">
        <v>155</v>
      </c>
      <c r="O15" s="107">
        <v>42247</v>
      </c>
      <c r="P15" s="107">
        <v>42278</v>
      </c>
      <c r="Q15" s="108">
        <v>42278</v>
      </c>
      <c r="R15" s="105" t="s">
        <v>156</v>
      </c>
      <c r="S15" s="109">
        <v>44470</v>
      </c>
      <c r="T15" s="63" t="s">
        <v>157</v>
      </c>
      <c r="U15" s="105" t="s">
        <v>44</v>
      </c>
      <c r="V15" s="104">
        <v>1</v>
      </c>
      <c r="W15" s="104">
        <v>1</v>
      </c>
      <c r="X15" s="104">
        <v>42710</v>
      </c>
      <c r="Y15" s="104"/>
      <c r="Z15" s="104"/>
      <c r="AA15" s="104"/>
      <c r="AB15" s="104"/>
      <c r="AC15" s="104"/>
      <c r="AD15" s="104"/>
      <c r="AE15" s="104"/>
    </row>
    <row r="16" spans="1:31" s="110" customFormat="1" ht="94.5" x14ac:dyDescent="0.15">
      <c r="A16" s="104" t="s">
        <v>158</v>
      </c>
      <c r="B16" s="111"/>
      <c r="C16" s="105"/>
      <c r="D16" s="104">
        <v>7295579</v>
      </c>
      <c r="E16" s="50" t="str">
        <f t="shared" si="0"/>
        <v>1367295579</v>
      </c>
      <c r="F16" s="50" t="str">
        <f t="shared" si="1"/>
        <v>　</v>
      </c>
      <c r="G16" s="104" t="s">
        <v>159</v>
      </c>
      <c r="H16" s="104" t="s">
        <v>160</v>
      </c>
      <c r="I16" s="104" t="s">
        <v>36</v>
      </c>
      <c r="J16" s="104" t="s">
        <v>161</v>
      </c>
      <c r="K16" s="104" t="s">
        <v>162</v>
      </c>
      <c r="L16" s="104" t="s">
        <v>163</v>
      </c>
      <c r="M16" s="106" t="s">
        <v>160</v>
      </c>
      <c r="N16" s="106" t="s">
        <v>164</v>
      </c>
      <c r="O16" s="107">
        <v>42145</v>
      </c>
      <c r="P16" s="107">
        <v>42278</v>
      </c>
      <c r="Q16" s="108">
        <v>42278</v>
      </c>
      <c r="R16" s="105" t="s">
        <v>165</v>
      </c>
      <c r="S16" s="109">
        <v>44470</v>
      </c>
      <c r="T16" s="63" t="s">
        <v>166</v>
      </c>
      <c r="U16" s="105" t="s">
        <v>44</v>
      </c>
      <c r="V16" s="104">
        <v>1</v>
      </c>
      <c r="W16" s="104">
        <v>1</v>
      </c>
      <c r="X16" s="104">
        <v>42710</v>
      </c>
      <c r="Y16" s="104"/>
      <c r="Z16" s="14" t="s">
        <v>167</v>
      </c>
      <c r="AA16" s="104" t="s">
        <v>168</v>
      </c>
      <c r="AB16" s="104"/>
      <c r="AC16" s="104"/>
      <c r="AD16" s="104"/>
      <c r="AE16" s="104"/>
    </row>
    <row r="17" spans="1:31" ht="27" x14ac:dyDescent="0.15">
      <c r="A17" s="104" t="s">
        <v>169</v>
      </c>
      <c r="B17" s="112"/>
      <c r="C17" s="25" t="s">
        <v>96</v>
      </c>
      <c r="D17" s="64">
        <v>7296221</v>
      </c>
      <c r="E17" s="50" t="str">
        <f t="shared" si="0"/>
        <v>1367296221</v>
      </c>
      <c r="F17" s="50" t="str">
        <f t="shared" si="1"/>
        <v>　</v>
      </c>
      <c r="G17" s="14" t="s">
        <v>170</v>
      </c>
      <c r="H17" s="104" t="s">
        <v>171</v>
      </c>
      <c r="I17" s="104" t="s">
        <v>36</v>
      </c>
      <c r="J17" s="14" t="s">
        <v>172</v>
      </c>
      <c r="K17" s="104" t="s">
        <v>173</v>
      </c>
      <c r="L17" s="14" t="s">
        <v>174</v>
      </c>
      <c r="M17" s="106" t="s">
        <v>175</v>
      </c>
      <c r="N17" s="106" t="s">
        <v>176</v>
      </c>
      <c r="O17" s="107">
        <v>42383</v>
      </c>
      <c r="P17" s="107">
        <v>42461</v>
      </c>
      <c r="Q17" s="108">
        <v>42461</v>
      </c>
      <c r="R17" s="105" t="s">
        <v>177</v>
      </c>
      <c r="S17" s="105"/>
      <c r="T17" s="105"/>
      <c r="U17" s="105" t="s">
        <v>44</v>
      </c>
      <c r="V17" s="104">
        <v>1</v>
      </c>
      <c r="W17" s="104">
        <v>1</v>
      </c>
      <c r="X17" s="104">
        <v>42804</v>
      </c>
      <c r="Y17" s="104">
        <v>50404</v>
      </c>
      <c r="Z17" s="104" t="s">
        <v>178</v>
      </c>
      <c r="AA17" s="104"/>
      <c r="AB17" s="104"/>
      <c r="AC17" s="74"/>
      <c r="AD17" s="74"/>
      <c r="AE17" s="74"/>
    </row>
    <row r="18" spans="1:31" ht="67.5" x14ac:dyDescent="0.15">
      <c r="A18" s="104" t="s">
        <v>179</v>
      </c>
      <c r="B18" s="113"/>
      <c r="C18" s="114"/>
      <c r="D18" s="64">
        <v>7491848</v>
      </c>
      <c r="E18" s="115" t="str">
        <f t="shared" si="0"/>
        <v>1367491848</v>
      </c>
      <c r="F18" s="50" t="str">
        <f t="shared" si="1"/>
        <v>　</v>
      </c>
      <c r="G18" s="14" t="s">
        <v>180</v>
      </c>
      <c r="H18" s="104" t="s">
        <v>175</v>
      </c>
      <c r="I18" s="104" t="s">
        <v>36</v>
      </c>
      <c r="J18" s="14" t="s">
        <v>181</v>
      </c>
      <c r="K18" s="104" t="s">
        <v>182</v>
      </c>
      <c r="L18" s="14" t="s">
        <v>183</v>
      </c>
      <c r="M18" s="106" t="s">
        <v>184</v>
      </c>
      <c r="N18" s="106" t="s">
        <v>185</v>
      </c>
      <c r="O18" s="107">
        <v>42601</v>
      </c>
      <c r="P18" s="107">
        <v>42644</v>
      </c>
      <c r="Q18" s="108">
        <v>42461</v>
      </c>
      <c r="R18" s="105" t="s">
        <v>186</v>
      </c>
      <c r="S18" s="116">
        <v>44652</v>
      </c>
      <c r="T18" s="63" t="s">
        <v>187</v>
      </c>
      <c r="U18" s="105" t="s">
        <v>44</v>
      </c>
      <c r="V18" s="104">
        <v>1</v>
      </c>
      <c r="W18" s="104">
        <v>1</v>
      </c>
      <c r="X18" s="104">
        <v>42810</v>
      </c>
      <c r="Y18" s="104"/>
      <c r="Z18" s="104" t="s">
        <v>188</v>
      </c>
      <c r="AA18" s="104" t="s">
        <v>189</v>
      </c>
      <c r="AB18" s="104" t="s">
        <v>190</v>
      </c>
      <c r="AC18" s="104" t="s">
        <v>191</v>
      </c>
      <c r="AD18" s="117"/>
      <c r="AE18" s="117"/>
    </row>
    <row r="19" spans="1:31" ht="54" x14ac:dyDescent="0.15">
      <c r="A19" s="104" t="s">
        <v>192</v>
      </c>
      <c r="B19" s="105"/>
      <c r="C19" s="114"/>
      <c r="D19" s="64">
        <v>7391543</v>
      </c>
      <c r="E19" s="115" t="str">
        <f t="shared" si="0"/>
        <v>1367391543</v>
      </c>
      <c r="F19" s="50" t="str">
        <f t="shared" si="1"/>
        <v>　</v>
      </c>
      <c r="G19" s="14" t="s">
        <v>193</v>
      </c>
      <c r="H19" s="104" t="s">
        <v>194</v>
      </c>
      <c r="I19" s="104" t="s">
        <v>36</v>
      </c>
      <c r="J19" s="14" t="s">
        <v>195</v>
      </c>
      <c r="K19" s="104" t="s">
        <v>196</v>
      </c>
      <c r="L19" s="14" t="s">
        <v>197</v>
      </c>
      <c r="M19" s="106" t="s">
        <v>194</v>
      </c>
      <c r="N19" s="106" t="s">
        <v>198</v>
      </c>
      <c r="O19" s="107">
        <v>43248</v>
      </c>
      <c r="P19" s="107">
        <v>43374</v>
      </c>
      <c r="Q19" s="108">
        <v>43374</v>
      </c>
      <c r="R19" s="105" t="s">
        <v>199</v>
      </c>
      <c r="S19" s="116">
        <v>45566</v>
      </c>
      <c r="T19" s="105"/>
      <c r="U19" s="105" t="s">
        <v>44</v>
      </c>
      <c r="V19" s="104">
        <v>1</v>
      </c>
      <c r="W19" s="104">
        <v>1</v>
      </c>
      <c r="X19" s="104">
        <v>43010</v>
      </c>
      <c r="Y19" s="104"/>
      <c r="Z19" s="104" t="s">
        <v>200</v>
      </c>
      <c r="AA19" s="104" t="s">
        <v>201</v>
      </c>
      <c r="AB19" s="104"/>
      <c r="AC19" s="74"/>
      <c r="AD19" s="74"/>
      <c r="AE19" s="74"/>
    </row>
    <row r="20" spans="1:31" ht="27" x14ac:dyDescent="0.15">
      <c r="A20" s="104" t="s">
        <v>202</v>
      </c>
      <c r="B20" s="105"/>
      <c r="C20" s="114"/>
      <c r="D20" s="64">
        <v>7392228</v>
      </c>
      <c r="E20" s="115" t="str">
        <f t="shared" si="0"/>
        <v>1367392228</v>
      </c>
      <c r="F20" s="50" t="str">
        <f t="shared" si="1"/>
        <v>　</v>
      </c>
      <c r="G20" s="14" t="s">
        <v>203</v>
      </c>
      <c r="H20" s="104" t="s">
        <v>204</v>
      </c>
      <c r="I20" s="104" t="s">
        <v>36</v>
      </c>
      <c r="J20" s="14" t="s">
        <v>205</v>
      </c>
      <c r="K20" s="104" t="s">
        <v>206</v>
      </c>
      <c r="L20" s="14" t="s">
        <v>207</v>
      </c>
      <c r="M20" s="106" t="s">
        <v>208</v>
      </c>
      <c r="N20" s="106" t="s">
        <v>209</v>
      </c>
      <c r="O20" s="107">
        <v>43314</v>
      </c>
      <c r="P20" s="107">
        <v>43374</v>
      </c>
      <c r="Q20" s="108">
        <v>43374</v>
      </c>
      <c r="R20" s="105" t="s">
        <v>210</v>
      </c>
      <c r="S20" s="116">
        <v>45566</v>
      </c>
      <c r="T20" s="105"/>
      <c r="U20" s="105" t="s">
        <v>44</v>
      </c>
      <c r="V20" s="104">
        <v>1</v>
      </c>
      <c r="W20" s="104">
        <v>1</v>
      </c>
      <c r="X20" s="104">
        <v>43010</v>
      </c>
      <c r="Y20" s="104"/>
      <c r="Z20" s="104" t="s">
        <v>211</v>
      </c>
      <c r="AA20" s="104"/>
      <c r="AB20" s="104"/>
      <c r="AC20" s="74"/>
      <c r="AD20" s="74"/>
      <c r="AE20" s="74"/>
    </row>
    <row r="21" spans="1:31" ht="27" x14ac:dyDescent="0.15">
      <c r="A21" s="104" t="s">
        <v>212</v>
      </c>
      <c r="B21" s="118"/>
      <c r="C21" s="114"/>
      <c r="D21" s="64">
        <v>7297781</v>
      </c>
      <c r="E21" s="115" t="str">
        <f t="shared" si="0"/>
        <v>1367297781</v>
      </c>
      <c r="F21" s="50" t="str">
        <f t="shared" si="1"/>
        <v>　</v>
      </c>
      <c r="G21" s="14" t="s">
        <v>213</v>
      </c>
      <c r="H21" s="104" t="s">
        <v>214</v>
      </c>
      <c r="I21" s="104" t="s">
        <v>36</v>
      </c>
      <c r="J21" s="14" t="s">
        <v>215</v>
      </c>
      <c r="K21" s="104" t="s">
        <v>216</v>
      </c>
      <c r="L21" s="14" t="s">
        <v>217</v>
      </c>
      <c r="M21" s="106" t="s">
        <v>218</v>
      </c>
      <c r="N21" s="106" t="s">
        <v>219</v>
      </c>
      <c r="O21" s="107">
        <v>43487</v>
      </c>
      <c r="P21" s="107">
        <v>43556</v>
      </c>
      <c r="Q21" s="108">
        <v>43556</v>
      </c>
      <c r="R21" s="105" t="s">
        <v>220</v>
      </c>
      <c r="S21" s="119">
        <v>45748</v>
      </c>
      <c r="T21" s="105" t="s">
        <v>221</v>
      </c>
      <c r="U21" s="105" t="s">
        <v>44</v>
      </c>
      <c r="V21" s="104">
        <v>1</v>
      </c>
      <c r="W21" s="104">
        <v>1</v>
      </c>
      <c r="X21" s="104">
        <v>43104</v>
      </c>
      <c r="Y21" s="104"/>
      <c r="Z21" s="104"/>
      <c r="AA21" s="104"/>
      <c r="AB21" s="104"/>
      <c r="AC21" s="74"/>
      <c r="AD21" s="74"/>
      <c r="AE21" s="74"/>
    </row>
    <row r="22" spans="1:31" ht="27" x14ac:dyDescent="0.15">
      <c r="A22" s="104" t="s">
        <v>222</v>
      </c>
      <c r="B22" s="118"/>
      <c r="C22" s="114"/>
      <c r="D22" s="64">
        <v>7393325</v>
      </c>
      <c r="E22" s="115" t="str">
        <f t="shared" si="0"/>
        <v>1367393325</v>
      </c>
      <c r="F22" s="50" t="str">
        <f t="shared" si="1"/>
        <v>　</v>
      </c>
      <c r="G22" s="14" t="s">
        <v>223</v>
      </c>
      <c r="H22" s="104" t="s">
        <v>224</v>
      </c>
      <c r="I22" s="104" t="s">
        <v>36</v>
      </c>
      <c r="J22" s="14" t="s">
        <v>225</v>
      </c>
      <c r="K22" s="104" t="s">
        <v>226</v>
      </c>
      <c r="L22" s="14" t="s">
        <v>227</v>
      </c>
      <c r="M22" s="106" t="s">
        <v>228</v>
      </c>
      <c r="N22" s="106" t="s">
        <v>229</v>
      </c>
      <c r="O22" s="114" t="s">
        <v>230</v>
      </c>
      <c r="P22" s="114" t="s">
        <v>231</v>
      </c>
      <c r="Q22" s="108" t="s">
        <v>231</v>
      </c>
      <c r="R22" s="105" t="s">
        <v>232</v>
      </c>
      <c r="S22" s="119">
        <v>45931</v>
      </c>
      <c r="T22" s="111" t="s">
        <v>233</v>
      </c>
      <c r="U22" s="105" t="s">
        <v>44</v>
      </c>
      <c r="V22" s="104">
        <v>1</v>
      </c>
      <c r="W22" s="104">
        <v>1</v>
      </c>
      <c r="X22" s="104">
        <v>50110</v>
      </c>
      <c r="Y22" s="112"/>
      <c r="Z22" s="104"/>
      <c r="AA22" s="112"/>
      <c r="AB22" s="112"/>
      <c r="AC22" s="74"/>
      <c r="AD22" s="74"/>
      <c r="AE22" s="74"/>
    </row>
    <row r="23" spans="1:31" ht="27" x14ac:dyDescent="0.15">
      <c r="A23" s="104" t="s">
        <v>234</v>
      </c>
      <c r="B23" s="118"/>
      <c r="C23" s="114" t="s">
        <v>235</v>
      </c>
      <c r="D23" s="64">
        <v>7394067</v>
      </c>
      <c r="E23" s="115" t="str">
        <f t="shared" si="0"/>
        <v>1367394067</v>
      </c>
      <c r="F23" s="50" t="str">
        <f t="shared" si="1"/>
        <v>　</v>
      </c>
      <c r="G23" s="14" t="s">
        <v>236</v>
      </c>
      <c r="H23" s="104" t="s">
        <v>237</v>
      </c>
      <c r="I23" s="104" t="s">
        <v>36</v>
      </c>
      <c r="J23" s="14" t="s">
        <v>238</v>
      </c>
      <c r="K23" s="104" t="s">
        <v>239</v>
      </c>
      <c r="L23" s="14" t="s">
        <v>240</v>
      </c>
      <c r="M23" s="106" t="s">
        <v>237</v>
      </c>
      <c r="N23" s="106" t="s">
        <v>238</v>
      </c>
      <c r="O23" s="107">
        <v>43936</v>
      </c>
      <c r="P23" s="107">
        <v>44013</v>
      </c>
      <c r="Q23" s="108">
        <v>44013</v>
      </c>
      <c r="R23" s="105" t="s">
        <v>241</v>
      </c>
      <c r="S23" s="112"/>
      <c r="T23" s="112"/>
      <c r="U23" s="105" t="s">
        <v>44</v>
      </c>
      <c r="V23" s="104">
        <v>1</v>
      </c>
      <c r="W23" s="104">
        <v>1</v>
      </c>
      <c r="X23" s="104">
        <v>50207</v>
      </c>
      <c r="Y23" s="112">
        <v>50806</v>
      </c>
      <c r="Z23" s="104" t="s">
        <v>242</v>
      </c>
      <c r="AA23" s="112"/>
      <c r="AB23" s="112"/>
      <c r="AC23" s="74"/>
      <c r="AD23" s="74"/>
      <c r="AE23" s="74"/>
    </row>
    <row r="24" spans="1:31" ht="54" x14ac:dyDescent="0.15">
      <c r="A24" s="104" t="s">
        <v>243</v>
      </c>
      <c r="B24" s="113" t="s">
        <v>244</v>
      </c>
      <c r="C24" s="114"/>
      <c r="D24" s="112">
        <v>7395072</v>
      </c>
      <c r="E24" s="115" t="str">
        <f t="shared" si="0"/>
        <v>1367395072</v>
      </c>
      <c r="F24" s="50" t="str">
        <f t="shared" si="1"/>
        <v>　</v>
      </c>
      <c r="G24" s="104" t="s">
        <v>245</v>
      </c>
      <c r="H24" s="104" t="s">
        <v>246</v>
      </c>
      <c r="I24" s="104" t="s">
        <v>36</v>
      </c>
      <c r="J24" s="112" t="s">
        <v>247</v>
      </c>
      <c r="K24" s="104" t="s">
        <v>248</v>
      </c>
      <c r="L24" s="112" t="s">
        <v>249</v>
      </c>
      <c r="M24" s="106" t="s">
        <v>250</v>
      </c>
      <c r="N24" s="106" t="s">
        <v>251</v>
      </c>
      <c r="O24" s="107">
        <v>44055</v>
      </c>
      <c r="P24" s="107">
        <v>44105</v>
      </c>
      <c r="Q24" s="108">
        <v>44105</v>
      </c>
      <c r="R24" s="114" t="s">
        <v>252</v>
      </c>
      <c r="S24" s="67">
        <v>46296</v>
      </c>
      <c r="T24" s="70" t="s">
        <v>253</v>
      </c>
      <c r="U24" s="105" t="s">
        <v>44</v>
      </c>
      <c r="V24" s="104">
        <v>1</v>
      </c>
      <c r="W24" s="104">
        <v>1</v>
      </c>
      <c r="X24" s="112">
        <v>50210</v>
      </c>
      <c r="Y24" s="112"/>
      <c r="Z24" s="104" t="s">
        <v>254</v>
      </c>
      <c r="AA24" s="104" t="s">
        <v>255</v>
      </c>
      <c r="AB24" s="112"/>
      <c r="AC24" s="74"/>
      <c r="AD24" s="74"/>
      <c r="AE24" s="74"/>
    </row>
    <row r="25" spans="1:31" ht="46.5" customHeight="1" x14ac:dyDescent="0.15">
      <c r="A25" s="120" t="s">
        <v>256</v>
      </c>
      <c r="B25" s="113"/>
      <c r="C25" s="114"/>
      <c r="D25" s="64">
        <v>7398167</v>
      </c>
      <c r="E25" s="115" t="str">
        <f t="shared" si="0"/>
        <v>1367398167</v>
      </c>
      <c r="F25" s="50" t="str">
        <f t="shared" si="1"/>
        <v>　</v>
      </c>
      <c r="G25" s="14" t="s">
        <v>257</v>
      </c>
      <c r="H25" s="104" t="s">
        <v>258</v>
      </c>
      <c r="I25" s="104" t="s">
        <v>36</v>
      </c>
      <c r="J25" s="14" t="s">
        <v>259</v>
      </c>
      <c r="K25" s="104" t="s">
        <v>260</v>
      </c>
      <c r="L25" s="14" t="s">
        <v>261</v>
      </c>
      <c r="M25" s="106" t="s">
        <v>262</v>
      </c>
      <c r="N25" s="106" t="s">
        <v>263</v>
      </c>
      <c r="O25" s="107">
        <v>44599</v>
      </c>
      <c r="P25" s="107">
        <v>44652</v>
      </c>
      <c r="Q25" s="108">
        <v>44652</v>
      </c>
      <c r="R25" s="105" t="s">
        <v>264</v>
      </c>
      <c r="S25" s="112"/>
      <c r="T25" s="112"/>
      <c r="U25" s="105" t="s">
        <v>44</v>
      </c>
      <c r="V25" s="104">
        <v>1</v>
      </c>
      <c r="W25" s="104">
        <v>1</v>
      </c>
      <c r="X25" s="104">
        <v>50404</v>
      </c>
      <c r="Y25" s="112"/>
      <c r="Z25" s="14" t="s">
        <v>265</v>
      </c>
      <c r="AA25" s="112"/>
      <c r="AB25" s="112"/>
      <c r="AC25" s="74"/>
      <c r="AD25" s="74"/>
      <c r="AE25" s="74"/>
    </row>
    <row r="26" spans="1:31" ht="27" x14ac:dyDescent="0.15">
      <c r="A26" s="120" t="s">
        <v>266</v>
      </c>
      <c r="B26" s="118"/>
      <c r="C26" s="114"/>
      <c r="D26" s="64">
        <v>7397748</v>
      </c>
      <c r="E26" s="115" t="str">
        <f t="shared" si="0"/>
        <v>1367397748</v>
      </c>
      <c r="F26" s="50" t="str">
        <f t="shared" si="1"/>
        <v>　</v>
      </c>
      <c r="G26" s="14" t="s">
        <v>267</v>
      </c>
      <c r="H26" s="104" t="s">
        <v>262</v>
      </c>
      <c r="I26" s="104" t="s">
        <v>36</v>
      </c>
      <c r="J26" s="14" t="s">
        <v>268</v>
      </c>
      <c r="K26" s="104" t="s">
        <v>269</v>
      </c>
      <c r="L26" s="14" t="s">
        <v>270</v>
      </c>
      <c r="M26" s="106" t="s">
        <v>271</v>
      </c>
      <c r="N26" s="106" t="s">
        <v>272</v>
      </c>
      <c r="O26" s="107">
        <v>44627</v>
      </c>
      <c r="P26" s="107">
        <v>44743</v>
      </c>
      <c r="Q26" s="108">
        <v>44743</v>
      </c>
      <c r="R26" s="105" t="s">
        <v>273</v>
      </c>
      <c r="S26" s="112"/>
      <c r="T26" s="112"/>
      <c r="U26" s="105" t="s">
        <v>44</v>
      </c>
      <c r="V26" s="104">
        <v>1</v>
      </c>
      <c r="W26" s="104">
        <v>1</v>
      </c>
      <c r="X26" s="104">
        <v>50407</v>
      </c>
      <c r="Y26" s="112"/>
      <c r="Z26" s="104"/>
      <c r="AA26" s="112"/>
      <c r="AB26" s="112"/>
      <c r="AC26" s="74"/>
      <c r="AD26" s="74"/>
      <c r="AE26" s="74"/>
    </row>
    <row r="27" spans="1:31" ht="27" x14ac:dyDescent="0.15">
      <c r="A27" s="120" t="s">
        <v>274</v>
      </c>
      <c r="B27" s="118"/>
      <c r="C27" s="114"/>
      <c r="D27" s="64">
        <v>7398621</v>
      </c>
      <c r="E27" s="115" t="str">
        <f t="shared" si="0"/>
        <v>1367398621</v>
      </c>
      <c r="F27" s="50"/>
      <c r="G27" s="14" t="s">
        <v>275</v>
      </c>
      <c r="H27" s="104" t="s">
        <v>276</v>
      </c>
      <c r="I27" s="104" t="s">
        <v>36</v>
      </c>
      <c r="J27" s="14" t="s">
        <v>277</v>
      </c>
      <c r="K27" s="104" t="s">
        <v>278</v>
      </c>
      <c r="L27" s="14" t="s">
        <v>279</v>
      </c>
      <c r="M27" s="106" t="s">
        <v>280</v>
      </c>
      <c r="N27" s="106" t="s">
        <v>281</v>
      </c>
      <c r="O27" s="107">
        <v>44782</v>
      </c>
      <c r="P27" s="107">
        <v>44835</v>
      </c>
      <c r="Q27" s="107">
        <v>44835</v>
      </c>
      <c r="R27" s="105" t="s">
        <v>282</v>
      </c>
      <c r="S27" s="112"/>
      <c r="T27" s="112"/>
      <c r="U27" s="105" t="s">
        <v>44</v>
      </c>
      <c r="V27" s="104">
        <v>1</v>
      </c>
      <c r="W27" s="104">
        <v>1</v>
      </c>
      <c r="X27" s="104">
        <v>50410</v>
      </c>
      <c r="Y27" s="112"/>
      <c r="Z27" s="104"/>
      <c r="AA27" s="112"/>
      <c r="AB27" s="112"/>
      <c r="AC27" s="74"/>
      <c r="AD27" s="74"/>
      <c r="AE27" s="74"/>
    </row>
    <row r="28" spans="1:31" ht="81" x14ac:dyDescent="0.15">
      <c r="A28" s="120" t="s">
        <v>283</v>
      </c>
      <c r="B28" s="118"/>
      <c r="C28" s="114"/>
      <c r="D28" s="64">
        <v>7398878</v>
      </c>
      <c r="E28" s="115" t="str">
        <f t="shared" si="0"/>
        <v>1367398878</v>
      </c>
      <c r="F28" s="50"/>
      <c r="G28" s="14" t="s">
        <v>284</v>
      </c>
      <c r="H28" s="104" t="s">
        <v>285</v>
      </c>
      <c r="I28" s="104" t="s">
        <v>36</v>
      </c>
      <c r="J28" s="14" t="s">
        <v>286</v>
      </c>
      <c r="K28" s="104" t="s">
        <v>287</v>
      </c>
      <c r="L28" s="14" t="s">
        <v>288</v>
      </c>
      <c r="M28" s="106" t="s">
        <v>289</v>
      </c>
      <c r="N28" s="106" t="s">
        <v>290</v>
      </c>
      <c r="O28" s="107">
        <v>44781</v>
      </c>
      <c r="P28" s="107">
        <v>44835</v>
      </c>
      <c r="Q28" s="107">
        <v>44835</v>
      </c>
      <c r="R28" s="105" t="s">
        <v>291</v>
      </c>
      <c r="S28" s="112"/>
      <c r="T28" s="112"/>
      <c r="U28" s="105" t="s">
        <v>44</v>
      </c>
      <c r="V28" s="104">
        <v>1</v>
      </c>
      <c r="W28" s="104">
        <v>1</v>
      </c>
      <c r="X28" s="104">
        <v>50410</v>
      </c>
      <c r="Y28" s="112"/>
      <c r="Z28" s="104" t="s">
        <v>292</v>
      </c>
      <c r="AA28" s="112"/>
      <c r="AB28" s="112"/>
      <c r="AC28" s="74"/>
      <c r="AD28" s="74"/>
      <c r="AE28" s="74"/>
    </row>
    <row r="29" spans="1:31" ht="30.75" customHeight="1" x14ac:dyDescent="0.15">
      <c r="A29" s="120" t="s">
        <v>293</v>
      </c>
      <c r="B29" s="121"/>
      <c r="C29" s="122"/>
      <c r="D29" s="74">
        <v>7491236</v>
      </c>
      <c r="E29" s="74" t="str">
        <f t="shared" si="0"/>
        <v>1367491236</v>
      </c>
      <c r="F29" s="74"/>
      <c r="G29" s="112" t="s">
        <v>294</v>
      </c>
      <c r="H29" s="117" t="s">
        <v>295</v>
      </c>
      <c r="I29" s="104" t="s">
        <v>36</v>
      </c>
      <c r="J29" s="104" t="s">
        <v>296</v>
      </c>
      <c r="K29" s="117" t="s">
        <v>297</v>
      </c>
      <c r="L29" s="74" t="s">
        <v>298</v>
      </c>
      <c r="M29" s="123" t="s">
        <v>299</v>
      </c>
      <c r="N29" s="123" t="s">
        <v>300</v>
      </c>
      <c r="O29" s="107">
        <v>45054</v>
      </c>
      <c r="P29" s="124">
        <v>45108</v>
      </c>
      <c r="Q29" s="124">
        <v>45108</v>
      </c>
      <c r="R29" s="114" t="s">
        <v>301</v>
      </c>
      <c r="S29" s="74"/>
      <c r="T29" s="74"/>
      <c r="U29" s="105" t="s">
        <v>44</v>
      </c>
      <c r="V29" s="104">
        <v>1</v>
      </c>
      <c r="W29" s="104">
        <v>1</v>
      </c>
      <c r="X29" s="74">
        <v>50507</v>
      </c>
      <c r="Y29" s="74"/>
      <c r="Z29" s="117"/>
      <c r="AA29" s="74"/>
      <c r="AB29" s="74"/>
      <c r="AC29" s="74"/>
      <c r="AD29" s="74"/>
      <c r="AE29" s="74"/>
    </row>
    <row r="30" spans="1:31" ht="54" x14ac:dyDescent="0.15">
      <c r="A30" s="120" t="s">
        <v>302</v>
      </c>
      <c r="B30" s="125"/>
      <c r="C30" s="122"/>
      <c r="D30" s="126">
        <v>7493158</v>
      </c>
      <c r="E30" s="74" t="str">
        <f t="shared" si="0"/>
        <v>1367493158</v>
      </c>
      <c r="F30" s="74"/>
      <c r="G30" s="104" t="s">
        <v>303</v>
      </c>
      <c r="H30" s="117" t="s">
        <v>304</v>
      </c>
      <c r="I30" s="104" t="s">
        <v>36</v>
      </c>
      <c r="J30" s="104" t="s">
        <v>305</v>
      </c>
      <c r="K30" s="117" t="s">
        <v>306</v>
      </c>
      <c r="L30" s="74" t="s">
        <v>307</v>
      </c>
      <c r="M30" s="123" t="s">
        <v>308</v>
      </c>
      <c r="N30" s="123" t="s">
        <v>309</v>
      </c>
      <c r="O30" s="107">
        <v>45297</v>
      </c>
      <c r="P30" s="124">
        <v>45383</v>
      </c>
      <c r="Q30" s="124">
        <v>45383</v>
      </c>
      <c r="R30" s="114" t="s">
        <v>310</v>
      </c>
      <c r="S30" s="117"/>
      <c r="T30" s="74"/>
      <c r="U30" s="105" t="s">
        <v>44</v>
      </c>
      <c r="V30" s="104">
        <v>1</v>
      </c>
      <c r="W30" s="104">
        <v>1</v>
      </c>
      <c r="X30" s="74">
        <v>50604</v>
      </c>
      <c r="Y30" s="74"/>
      <c r="Z30" s="117" t="s">
        <v>311</v>
      </c>
      <c r="AA30" s="74"/>
      <c r="AB30" s="74"/>
      <c r="AC30" s="74"/>
      <c r="AD30" s="74"/>
      <c r="AE30" s="74"/>
    </row>
    <row r="31" spans="1:31" ht="30.75" customHeight="1" x14ac:dyDescent="0.15">
      <c r="A31" s="120" t="s">
        <v>312</v>
      </c>
      <c r="B31" s="121"/>
      <c r="C31" s="122"/>
      <c r="D31" s="126">
        <v>7493737</v>
      </c>
      <c r="E31" s="74" t="str">
        <f t="shared" si="0"/>
        <v>1367493737</v>
      </c>
      <c r="F31" s="74"/>
      <c r="G31" s="104" t="s">
        <v>313</v>
      </c>
      <c r="H31" s="117" t="s">
        <v>314</v>
      </c>
      <c r="I31" s="104" t="s">
        <v>36</v>
      </c>
      <c r="J31" s="104" t="s">
        <v>315</v>
      </c>
      <c r="K31" s="117" t="s">
        <v>316</v>
      </c>
      <c r="L31" s="74" t="s">
        <v>317</v>
      </c>
      <c r="M31" s="123" t="s">
        <v>318</v>
      </c>
      <c r="N31" s="127" t="s">
        <v>319</v>
      </c>
      <c r="O31" s="107">
        <v>45408</v>
      </c>
      <c r="P31" s="124">
        <v>45474</v>
      </c>
      <c r="Q31" s="124">
        <v>45474</v>
      </c>
      <c r="R31" s="114" t="s">
        <v>320</v>
      </c>
      <c r="S31" s="74"/>
      <c r="T31" s="74"/>
      <c r="U31" s="105" t="s">
        <v>44</v>
      </c>
      <c r="V31" s="104">
        <v>1</v>
      </c>
      <c r="W31" s="104">
        <v>1</v>
      </c>
      <c r="X31" s="74">
        <v>50607</v>
      </c>
      <c r="Y31" s="74"/>
      <c r="Z31" s="117"/>
      <c r="AA31" s="74"/>
      <c r="AB31" s="74"/>
      <c r="AC31" s="74"/>
      <c r="AD31" s="74"/>
      <c r="AE31" s="74"/>
    </row>
    <row r="32" spans="1:31" ht="30.75" customHeight="1" x14ac:dyDescent="0.15">
      <c r="A32" s="120" t="s">
        <v>321</v>
      </c>
      <c r="B32" s="118"/>
      <c r="C32" s="122"/>
      <c r="D32" s="126">
        <v>7494263</v>
      </c>
      <c r="E32" s="128" t="str">
        <f t="shared" si="0"/>
        <v>1367494263</v>
      </c>
      <c r="F32" s="74"/>
      <c r="G32" s="129" t="s">
        <v>322</v>
      </c>
      <c r="H32" s="130" t="s">
        <v>323</v>
      </c>
      <c r="I32" s="104" t="s">
        <v>36</v>
      </c>
      <c r="J32" s="131" t="s">
        <v>324</v>
      </c>
      <c r="K32" s="130" t="s">
        <v>325</v>
      </c>
      <c r="L32" s="132" t="s">
        <v>326</v>
      </c>
      <c r="M32" s="123" t="s">
        <v>327</v>
      </c>
      <c r="N32" s="133" t="s">
        <v>328</v>
      </c>
      <c r="O32" s="134">
        <v>45532</v>
      </c>
      <c r="P32" s="107">
        <v>45658</v>
      </c>
      <c r="Q32" s="107">
        <v>45658</v>
      </c>
      <c r="R32" s="114" t="s">
        <v>329</v>
      </c>
      <c r="S32" s="74"/>
      <c r="T32" s="74"/>
      <c r="U32" s="105" t="s">
        <v>44</v>
      </c>
      <c r="V32" s="104">
        <v>1</v>
      </c>
      <c r="W32" s="104">
        <v>1</v>
      </c>
      <c r="X32" s="74">
        <v>50701</v>
      </c>
      <c r="Y32" s="74"/>
      <c r="Z32" s="117"/>
      <c r="AA32" s="74"/>
      <c r="AB32" s="74"/>
      <c r="AC32" s="74"/>
      <c r="AD32" s="74"/>
      <c r="AE32" s="74"/>
    </row>
    <row r="33" spans="1:31" ht="30.75" customHeight="1" x14ac:dyDescent="0.15">
      <c r="A33" s="120" t="s">
        <v>330</v>
      </c>
      <c r="B33" s="118"/>
      <c r="C33" s="122"/>
      <c r="D33" s="126">
        <v>7494677</v>
      </c>
      <c r="E33" s="128" t="str">
        <f t="shared" si="0"/>
        <v>1367494677</v>
      </c>
      <c r="F33" s="74"/>
      <c r="G33" s="135" t="s">
        <v>331</v>
      </c>
      <c r="H33" s="130" t="s">
        <v>332</v>
      </c>
      <c r="I33" s="104" t="s">
        <v>36</v>
      </c>
      <c r="J33" s="131" t="s">
        <v>333</v>
      </c>
      <c r="K33" s="130" t="s">
        <v>334</v>
      </c>
      <c r="L33" s="136" t="s">
        <v>335</v>
      </c>
      <c r="M33" s="123" t="s">
        <v>40</v>
      </c>
      <c r="N33" s="137" t="s">
        <v>336</v>
      </c>
      <c r="O33" s="134">
        <v>45566</v>
      </c>
      <c r="P33" s="107">
        <v>45658</v>
      </c>
      <c r="Q33" s="107">
        <v>45658</v>
      </c>
      <c r="R33" s="114" t="s">
        <v>329</v>
      </c>
      <c r="S33" s="74"/>
      <c r="T33" s="74"/>
      <c r="U33" s="105" t="s">
        <v>44</v>
      </c>
      <c r="V33" s="104">
        <v>1</v>
      </c>
      <c r="W33" s="104">
        <v>1</v>
      </c>
      <c r="X33" s="74">
        <v>50701</v>
      </c>
      <c r="Y33" s="74"/>
      <c r="Z33" s="117"/>
      <c r="AA33" s="74"/>
      <c r="AB33" s="74"/>
      <c r="AC33" s="74"/>
      <c r="AD33" s="74"/>
      <c r="AE33" s="74"/>
    </row>
    <row r="34" spans="1:31" ht="30.75" customHeight="1" x14ac:dyDescent="0.15">
      <c r="A34" s="120" t="s">
        <v>337</v>
      </c>
      <c r="B34" s="118"/>
      <c r="C34" s="122"/>
      <c r="D34" s="126">
        <v>7494388</v>
      </c>
      <c r="E34" s="128" t="str">
        <f t="shared" si="0"/>
        <v>1367494388</v>
      </c>
      <c r="F34" s="74"/>
      <c r="G34" s="135" t="s">
        <v>338</v>
      </c>
      <c r="H34" s="130" t="s">
        <v>258</v>
      </c>
      <c r="I34" s="104" t="s">
        <v>36</v>
      </c>
      <c r="J34" s="131" t="s">
        <v>339</v>
      </c>
      <c r="K34" s="130" t="s">
        <v>340</v>
      </c>
      <c r="L34" s="138" t="s">
        <v>341</v>
      </c>
      <c r="M34" s="123" t="s">
        <v>258</v>
      </c>
      <c r="N34" s="137" t="s">
        <v>342</v>
      </c>
      <c r="O34" s="134">
        <v>45549</v>
      </c>
      <c r="P34" s="107">
        <v>45658</v>
      </c>
      <c r="Q34" s="107">
        <v>45658</v>
      </c>
      <c r="R34" s="114" t="s">
        <v>329</v>
      </c>
      <c r="S34" s="74"/>
      <c r="T34" s="74"/>
      <c r="U34" s="105" t="s">
        <v>44</v>
      </c>
      <c r="V34" s="104">
        <v>1</v>
      </c>
      <c r="W34" s="104">
        <v>1</v>
      </c>
      <c r="X34" s="74">
        <v>50701</v>
      </c>
      <c r="Y34" s="74"/>
      <c r="Z34" s="117"/>
      <c r="AA34" s="74"/>
      <c r="AB34" s="74"/>
      <c r="AC34" s="74"/>
      <c r="AD34" s="74"/>
      <c r="AE34" s="74"/>
    </row>
    <row r="35" spans="1:31" ht="30.75" customHeight="1" x14ac:dyDescent="0.15">
      <c r="A35" s="120" t="s">
        <v>343</v>
      </c>
      <c r="B35" s="118"/>
      <c r="C35" s="122" t="s">
        <v>235</v>
      </c>
      <c r="D35" s="126">
        <v>7495146</v>
      </c>
      <c r="E35" s="128" t="str">
        <f t="shared" si="0"/>
        <v>1367495146</v>
      </c>
      <c r="F35" s="74"/>
      <c r="G35" s="135" t="s">
        <v>344</v>
      </c>
      <c r="H35" s="130" t="s">
        <v>345</v>
      </c>
      <c r="I35" s="104" t="s">
        <v>36</v>
      </c>
      <c r="J35" s="131" t="s">
        <v>346</v>
      </c>
      <c r="K35" s="130" t="s">
        <v>347</v>
      </c>
      <c r="L35" s="139" t="s">
        <v>348</v>
      </c>
      <c r="M35" s="123" t="s">
        <v>349</v>
      </c>
      <c r="N35" s="137" t="s">
        <v>346</v>
      </c>
      <c r="O35" s="134">
        <v>45652</v>
      </c>
      <c r="P35" s="107">
        <v>45748</v>
      </c>
      <c r="Q35" s="107">
        <v>45748</v>
      </c>
      <c r="R35" s="114" t="s">
        <v>350</v>
      </c>
      <c r="S35" s="74"/>
      <c r="T35" s="74"/>
      <c r="U35" s="105" t="s">
        <v>44</v>
      </c>
      <c r="V35" s="104">
        <v>1</v>
      </c>
      <c r="W35" s="104">
        <v>1</v>
      </c>
      <c r="X35" s="74">
        <v>50704</v>
      </c>
      <c r="Y35" s="74">
        <v>50803</v>
      </c>
      <c r="Z35" s="117" t="s">
        <v>351</v>
      </c>
      <c r="AA35" s="74"/>
      <c r="AB35" s="74"/>
      <c r="AC35" s="74"/>
      <c r="AD35" s="74"/>
      <c r="AE35" s="74"/>
    </row>
    <row r="36" spans="1:31" ht="30.75" customHeight="1" x14ac:dyDescent="0.15">
      <c r="A36" s="120" t="s">
        <v>352</v>
      </c>
      <c r="B36" s="118"/>
      <c r="C36" s="122"/>
      <c r="D36" s="126">
        <v>7495989</v>
      </c>
      <c r="E36" s="128" t="str">
        <f t="shared" si="0"/>
        <v>1367495989</v>
      </c>
      <c r="F36" s="74"/>
      <c r="G36" s="135" t="s">
        <v>353</v>
      </c>
      <c r="H36" s="130" t="s">
        <v>354</v>
      </c>
      <c r="I36" s="104" t="s">
        <v>36</v>
      </c>
      <c r="J36" s="131" t="s">
        <v>355</v>
      </c>
      <c r="K36" s="130" t="s">
        <v>356</v>
      </c>
      <c r="L36" s="139" t="s">
        <v>357</v>
      </c>
      <c r="M36" s="123" t="s">
        <v>354</v>
      </c>
      <c r="N36" s="140" t="s">
        <v>355</v>
      </c>
      <c r="O36" s="134">
        <v>45805</v>
      </c>
      <c r="P36" s="107">
        <v>45931</v>
      </c>
      <c r="Q36" s="107">
        <v>45931</v>
      </c>
      <c r="R36" s="103" t="s">
        <v>358</v>
      </c>
      <c r="S36" s="74"/>
      <c r="T36" s="74"/>
      <c r="U36" s="105" t="s">
        <v>44</v>
      </c>
      <c r="V36" s="104">
        <v>1</v>
      </c>
      <c r="W36" s="104">
        <v>1</v>
      </c>
      <c r="X36" s="74">
        <v>50710</v>
      </c>
      <c r="Y36" s="74"/>
      <c r="Z36" s="117"/>
      <c r="AA36" s="74"/>
      <c r="AB36" s="74"/>
      <c r="AC36" s="74"/>
      <c r="AD36" s="74"/>
      <c r="AE36" s="74"/>
    </row>
    <row r="37" spans="1:31" ht="30.75" customHeight="1" x14ac:dyDescent="0.15">
      <c r="A37" s="120" t="s">
        <v>359</v>
      </c>
      <c r="B37" s="118"/>
      <c r="C37" s="25" t="s">
        <v>96</v>
      </c>
      <c r="D37" s="126">
        <v>7496086</v>
      </c>
      <c r="E37" s="128" t="str">
        <f t="shared" si="0"/>
        <v>1367496086</v>
      </c>
      <c r="F37" s="74"/>
      <c r="G37" s="135" t="s">
        <v>360</v>
      </c>
      <c r="H37" s="130" t="s">
        <v>361</v>
      </c>
      <c r="I37" s="104" t="s">
        <v>36</v>
      </c>
      <c r="J37" s="131" t="s">
        <v>362</v>
      </c>
      <c r="K37" s="130" t="s">
        <v>363</v>
      </c>
      <c r="L37" s="139" t="s">
        <v>364</v>
      </c>
      <c r="M37" s="123" t="s">
        <v>361</v>
      </c>
      <c r="N37" s="141" t="s">
        <v>362</v>
      </c>
      <c r="O37" s="134">
        <v>45834</v>
      </c>
      <c r="P37" s="107">
        <v>45931</v>
      </c>
      <c r="Q37" s="107">
        <v>45931</v>
      </c>
      <c r="R37" s="103" t="s">
        <v>358</v>
      </c>
      <c r="S37" s="74"/>
      <c r="T37" s="74"/>
      <c r="U37" s="105" t="s">
        <v>14</v>
      </c>
      <c r="V37" s="104">
        <v>0</v>
      </c>
      <c r="W37" s="104">
        <v>1</v>
      </c>
      <c r="X37" s="74">
        <v>50710</v>
      </c>
      <c r="Y37" s="104">
        <v>50712</v>
      </c>
      <c r="Z37" s="117" t="s">
        <v>365</v>
      </c>
      <c r="AA37" s="74"/>
      <c r="AB37" s="74"/>
      <c r="AC37" s="74"/>
      <c r="AD37" s="74"/>
      <c r="AE37" s="74"/>
    </row>
    <row r="38" spans="1:31" ht="30.75" customHeight="1" x14ac:dyDescent="0.15">
      <c r="A38" s="120" t="s">
        <v>366</v>
      </c>
      <c r="B38" s="118"/>
      <c r="C38" s="122"/>
      <c r="D38" s="126">
        <v>7496086</v>
      </c>
      <c r="E38" s="128" t="str">
        <f t="shared" si="0"/>
        <v>1367496086</v>
      </c>
      <c r="F38" s="74"/>
      <c r="G38" s="135" t="s">
        <v>360</v>
      </c>
      <c r="H38" s="130" t="s">
        <v>361</v>
      </c>
      <c r="I38" s="104" t="s">
        <v>36</v>
      </c>
      <c r="J38" s="131" t="s">
        <v>362</v>
      </c>
      <c r="K38" s="130" t="s">
        <v>363</v>
      </c>
      <c r="L38" s="139" t="s">
        <v>364</v>
      </c>
      <c r="M38" s="123" t="s">
        <v>361</v>
      </c>
      <c r="N38" s="141" t="s">
        <v>362</v>
      </c>
      <c r="O38" s="134">
        <v>45932</v>
      </c>
      <c r="P38" s="107">
        <v>46023</v>
      </c>
      <c r="Q38" s="107">
        <v>46023</v>
      </c>
      <c r="R38" s="103" t="s">
        <v>367</v>
      </c>
      <c r="S38" s="74"/>
      <c r="T38" s="74"/>
      <c r="U38" s="105" t="s">
        <v>44</v>
      </c>
      <c r="V38" s="104">
        <v>1</v>
      </c>
      <c r="W38" s="104">
        <v>1</v>
      </c>
      <c r="X38" s="74">
        <v>50801</v>
      </c>
      <c r="Y38" s="104"/>
      <c r="Z38" s="117"/>
      <c r="AA38" s="74"/>
      <c r="AB38" s="74"/>
      <c r="AC38" s="74"/>
      <c r="AD38" s="74"/>
      <c r="AE38" s="74"/>
    </row>
    <row r="39" spans="1:31" ht="30.75" customHeight="1" x14ac:dyDescent="0.15">
      <c r="A39" s="120" t="s">
        <v>368</v>
      </c>
      <c r="B39" s="118"/>
      <c r="C39" s="122"/>
      <c r="D39" s="142">
        <v>7496698</v>
      </c>
      <c r="E39" s="128" t="str">
        <f t="shared" si="0"/>
        <v>1367496698</v>
      </c>
      <c r="F39" s="74"/>
      <c r="G39" s="135" t="s">
        <v>369</v>
      </c>
      <c r="H39" s="130" t="s">
        <v>370</v>
      </c>
      <c r="I39" s="104" t="s">
        <v>36</v>
      </c>
      <c r="J39" s="131" t="s">
        <v>371</v>
      </c>
      <c r="K39" s="130" t="s">
        <v>372</v>
      </c>
      <c r="L39" s="139" t="s">
        <v>373</v>
      </c>
      <c r="M39" s="123" t="s">
        <v>374</v>
      </c>
      <c r="N39" s="141" t="s">
        <v>375</v>
      </c>
      <c r="O39" s="134">
        <v>45931</v>
      </c>
      <c r="P39" s="107">
        <v>46023</v>
      </c>
      <c r="Q39" s="107">
        <v>46023</v>
      </c>
      <c r="R39" s="103" t="s">
        <v>367</v>
      </c>
      <c r="S39" s="74"/>
      <c r="T39" s="74"/>
      <c r="U39" s="105" t="s">
        <v>44</v>
      </c>
      <c r="V39" s="104">
        <v>1</v>
      </c>
      <c r="W39" s="104">
        <v>1</v>
      </c>
      <c r="X39" s="74">
        <v>50801</v>
      </c>
      <c r="Y39" s="104"/>
      <c r="Z39" s="117"/>
      <c r="AA39" s="74"/>
      <c r="AB39" s="74"/>
      <c r="AC39" s="74"/>
      <c r="AD39" s="74"/>
      <c r="AE39" s="74"/>
    </row>
    <row r="40" spans="1:31" ht="40.5" x14ac:dyDescent="0.15">
      <c r="A40" s="120" t="s">
        <v>376</v>
      </c>
      <c r="B40" s="113"/>
      <c r="C40" s="122"/>
      <c r="D40" s="142">
        <v>7496276</v>
      </c>
      <c r="E40" s="128" t="str">
        <f t="shared" si="0"/>
        <v>1367496276</v>
      </c>
      <c r="F40" s="74"/>
      <c r="G40" s="135" t="s">
        <v>377</v>
      </c>
      <c r="H40" s="130" t="s">
        <v>345</v>
      </c>
      <c r="I40" s="104" t="s">
        <v>36</v>
      </c>
      <c r="J40" s="131" t="s">
        <v>378</v>
      </c>
      <c r="K40" s="130" t="s">
        <v>379</v>
      </c>
      <c r="L40" s="139" t="s">
        <v>380</v>
      </c>
      <c r="M40" s="123" t="s">
        <v>381</v>
      </c>
      <c r="N40" s="141" t="s">
        <v>382</v>
      </c>
      <c r="O40" s="134">
        <v>45936</v>
      </c>
      <c r="P40" s="107">
        <v>46023</v>
      </c>
      <c r="Q40" s="107">
        <v>46023</v>
      </c>
      <c r="R40" s="103" t="s">
        <v>367</v>
      </c>
      <c r="S40" s="74"/>
      <c r="T40" s="74"/>
      <c r="U40" s="105" t="s">
        <v>44</v>
      </c>
      <c r="V40" s="104">
        <v>1</v>
      </c>
      <c r="W40" s="104">
        <v>1</v>
      </c>
      <c r="X40" s="74">
        <v>50801</v>
      </c>
      <c r="Y40" s="104"/>
      <c r="Z40" s="117" t="s">
        <v>383</v>
      </c>
      <c r="AA40" s="74"/>
      <c r="AB40" s="74"/>
      <c r="AC40" s="74"/>
      <c r="AD40" s="74"/>
      <c r="AE40" s="74"/>
    </row>
    <row r="41" spans="1:31" ht="30.75" customHeight="1" x14ac:dyDescent="0.15">
      <c r="A41" s="120" t="s">
        <v>384</v>
      </c>
      <c r="B41" s="118"/>
      <c r="C41" s="122"/>
      <c r="D41" s="142">
        <v>7496680</v>
      </c>
      <c r="E41" s="128" t="str">
        <f t="shared" si="0"/>
        <v>1367496680</v>
      </c>
      <c r="F41" s="74"/>
      <c r="G41" s="135" t="s">
        <v>385</v>
      </c>
      <c r="H41" s="130" t="s">
        <v>386</v>
      </c>
      <c r="I41" s="104" t="s">
        <v>36</v>
      </c>
      <c r="J41" s="131" t="s">
        <v>387</v>
      </c>
      <c r="K41" s="130" t="s">
        <v>388</v>
      </c>
      <c r="L41" s="139" t="s">
        <v>389</v>
      </c>
      <c r="M41" s="123" t="s">
        <v>390</v>
      </c>
      <c r="N41" s="141" t="s">
        <v>391</v>
      </c>
      <c r="O41" s="134">
        <v>46065</v>
      </c>
      <c r="P41" s="107">
        <v>46113</v>
      </c>
      <c r="Q41" s="107">
        <v>46113</v>
      </c>
      <c r="R41" s="103" t="s">
        <v>392</v>
      </c>
      <c r="S41" s="74"/>
      <c r="T41" s="74"/>
      <c r="U41" s="105" t="s">
        <v>44</v>
      </c>
      <c r="V41" s="104">
        <v>1</v>
      </c>
      <c r="W41" s="104">
        <v>1</v>
      </c>
      <c r="X41" s="74">
        <v>50804</v>
      </c>
      <c r="Y41" s="104"/>
      <c r="Z41" s="117"/>
      <c r="AA41" s="74"/>
      <c r="AB41" s="74"/>
      <c r="AC41" s="74"/>
      <c r="AD41" s="74"/>
      <c r="AE41" s="74"/>
    </row>
    <row r="42" spans="1:31" ht="30.75" customHeight="1" x14ac:dyDescent="0.15">
      <c r="A42" s="120" t="s">
        <v>393</v>
      </c>
      <c r="B42" s="118"/>
      <c r="C42" s="122"/>
      <c r="D42" s="142">
        <v>7497332</v>
      </c>
      <c r="E42" s="128" t="str">
        <f t="shared" si="0"/>
        <v>1367497332</v>
      </c>
      <c r="F42" s="74"/>
      <c r="G42" s="135" t="s">
        <v>394</v>
      </c>
      <c r="H42" s="130" t="s">
        <v>395</v>
      </c>
      <c r="I42" s="104" t="s">
        <v>36</v>
      </c>
      <c r="J42" s="131" t="s">
        <v>396</v>
      </c>
      <c r="K42" s="130" t="s">
        <v>397</v>
      </c>
      <c r="L42" s="139" t="s">
        <v>335</v>
      </c>
      <c r="M42" s="123" t="s">
        <v>40</v>
      </c>
      <c r="N42" s="137" t="s">
        <v>336</v>
      </c>
      <c r="O42" s="134">
        <v>46065</v>
      </c>
      <c r="P42" s="107">
        <v>46113</v>
      </c>
      <c r="Q42" s="107">
        <v>46113</v>
      </c>
      <c r="R42" s="103" t="s">
        <v>392</v>
      </c>
      <c r="S42" s="74"/>
      <c r="T42" s="74"/>
      <c r="U42" s="105" t="s">
        <v>44</v>
      </c>
      <c r="V42" s="104">
        <v>1</v>
      </c>
      <c r="W42" s="104">
        <v>1</v>
      </c>
      <c r="X42" s="74">
        <v>50804</v>
      </c>
      <c r="Y42" s="104"/>
      <c r="Z42" s="117"/>
      <c r="AA42" s="74"/>
      <c r="AB42" s="74"/>
      <c r="AC42" s="74"/>
      <c r="AD42" s="74"/>
      <c r="AE42" s="74"/>
    </row>
    <row r="43" spans="1:31" ht="30.75" customHeight="1" x14ac:dyDescent="0.15">
      <c r="A43" s="120" t="s">
        <v>398</v>
      </c>
      <c r="B43" s="118" t="s">
        <v>399</v>
      </c>
      <c r="C43" s="122"/>
      <c r="D43" s="142">
        <v>7294911</v>
      </c>
      <c r="E43" s="128" t="str">
        <f t="shared" si="0"/>
        <v>1367294911</v>
      </c>
      <c r="F43" s="74"/>
      <c r="G43" s="135" t="s">
        <v>400</v>
      </c>
      <c r="H43" s="130" t="s">
        <v>401</v>
      </c>
      <c r="I43" s="104" t="s">
        <v>36</v>
      </c>
      <c r="J43" s="131" t="s">
        <v>402</v>
      </c>
      <c r="K43" s="130" t="s">
        <v>403</v>
      </c>
      <c r="L43" s="139" t="s">
        <v>404</v>
      </c>
      <c r="M43" s="123" t="s">
        <v>405</v>
      </c>
      <c r="N43" s="140" t="s">
        <v>406</v>
      </c>
      <c r="O43" s="134">
        <v>46198</v>
      </c>
      <c r="P43" s="107">
        <v>46296</v>
      </c>
      <c r="Q43" s="107">
        <v>46296</v>
      </c>
      <c r="R43" s="103" t="s">
        <v>407</v>
      </c>
      <c r="S43" s="74"/>
      <c r="T43" s="74"/>
      <c r="U43" s="105" t="s">
        <v>44</v>
      </c>
      <c r="V43" s="104">
        <v>1</v>
      </c>
      <c r="W43" s="104">
        <v>1</v>
      </c>
      <c r="X43" s="74">
        <v>50810</v>
      </c>
      <c r="Y43" s="104"/>
      <c r="Z43" s="117"/>
      <c r="AA43" s="74"/>
      <c r="AB43" s="74"/>
      <c r="AC43" s="74"/>
      <c r="AD43" s="74"/>
      <c r="AE43" s="74"/>
    </row>
    <row r="44" spans="1:31" ht="30.75" customHeight="1" x14ac:dyDescent="0.15">
      <c r="A44" s="120" t="s">
        <v>408</v>
      </c>
      <c r="B44" s="118" t="s">
        <v>399</v>
      </c>
      <c r="C44" s="122"/>
      <c r="D44" s="142">
        <v>7498033</v>
      </c>
      <c r="E44" s="128" t="str">
        <f t="shared" si="0"/>
        <v>1367498033</v>
      </c>
      <c r="F44" s="74"/>
      <c r="G44" s="135" t="s">
        <v>409</v>
      </c>
      <c r="H44" s="130" t="s">
        <v>410</v>
      </c>
      <c r="I44" s="104" t="s">
        <v>36</v>
      </c>
      <c r="J44" s="131" t="s">
        <v>411</v>
      </c>
      <c r="K44" s="130" t="s">
        <v>412</v>
      </c>
      <c r="L44" s="139" t="s">
        <v>413</v>
      </c>
      <c r="M44" s="123" t="s">
        <v>414</v>
      </c>
      <c r="N44" s="140" t="s">
        <v>290</v>
      </c>
      <c r="O44" s="134">
        <v>46216</v>
      </c>
      <c r="P44" s="107">
        <v>46296</v>
      </c>
      <c r="Q44" s="107">
        <v>46296</v>
      </c>
      <c r="R44" s="103" t="s">
        <v>407</v>
      </c>
      <c r="S44" s="74"/>
      <c r="T44" s="74"/>
      <c r="U44" s="105" t="s">
        <v>44</v>
      </c>
      <c r="V44" s="104">
        <v>1</v>
      </c>
      <c r="W44" s="104">
        <v>1</v>
      </c>
      <c r="X44" s="74">
        <v>50810</v>
      </c>
      <c r="Y44" s="104"/>
      <c r="Z44" s="117"/>
      <c r="AA44" s="74"/>
      <c r="AB44" s="74"/>
      <c r="AC44" s="74"/>
      <c r="AD44" s="74"/>
      <c r="AE44" s="74"/>
    </row>
    <row r="45" spans="1:31" ht="30.75" customHeight="1" x14ac:dyDescent="0.15">
      <c r="A45" s="120" t="s">
        <v>415</v>
      </c>
      <c r="B45" s="118" t="s">
        <v>399</v>
      </c>
      <c r="C45" s="122"/>
      <c r="D45" s="142">
        <v>7498041</v>
      </c>
      <c r="E45" s="128" t="str">
        <f t="shared" si="0"/>
        <v>1367498041</v>
      </c>
      <c r="F45" s="74"/>
      <c r="G45" s="135" t="s">
        <v>416</v>
      </c>
      <c r="H45" s="130" t="s">
        <v>417</v>
      </c>
      <c r="I45" s="104" t="s">
        <v>36</v>
      </c>
      <c r="J45" s="131" t="s">
        <v>418</v>
      </c>
      <c r="K45" s="130" t="s">
        <v>419</v>
      </c>
      <c r="L45" s="139" t="s">
        <v>413</v>
      </c>
      <c r="M45" s="123" t="s">
        <v>414</v>
      </c>
      <c r="N45" s="140" t="s">
        <v>290</v>
      </c>
      <c r="O45" s="134">
        <v>46216</v>
      </c>
      <c r="P45" s="107">
        <v>46296</v>
      </c>
      <c r="Q45" s="107">
        <v>46296</v>
      </c>
      <c r="R45" s="103" t="s">
        <v>407</v>
      </c>
      <c r="S45" s="74"/>
      <c r="T45" s="74"/>
      <c r="U45" s="105" t="s">
        <v>44</v>
      </c>
      <c r="V45" s="104">
        <v>1</v>
      </c>
      <c r="W45" s="104">
        <v>1</v>
      </c>
      <c r="X45" s="74">
        <v>50810</v>
      </c>
      <c r="Y45" s="104"/>
      <c r="Z45" s="117"/>
      <c r="AA45" s="74"/>
      <c r="AB45" s="74"/>
      <c r="AC45" s="74"/>
      <c r="AD45" s="74"/>
      <c r="AE45" s="74"/>
    </row>
  </sheetData>
  <autoFilter ref="A3:AF50" xr:uid="{00000000-0001-0000-0200-000000000000}"/>
  <mergeCells count="21">
    <mergeCell ref="AC2:AC3"/>
    <mergeCell ref="AD2:AD3"/>
    <mergeCell ref="AE2:AE3"/>
    <mergeCell ref="W2:W3"/>
    <mergeCell ref="X2:X3"/>
    <mergeCell ref="Y2:Y3"/>
    <mergeCell ref="Z2:Z3"/>
    <mergeCell ref="AA2:AA3"/>
    <mergeCell ref="AB2:AB3"/>
    <mergeCell ref="Q2:Q3"/>
    <mergeCell ref="R2:R3"/>
    <mergeCell ref="S2:S3"/>
    <mergeCell ref="T2:T3"/>
    <mergeCell ref="U2:U3"/>
    <mergeCell ref="V2:V3"/>
    <mergeCell ref="A2:A3"/>
    <mergeCell ref="B2:B3"/>
    <mergeCell ref="C2:C3"/>
    <mergeCell ref="D2:K2"/>
    <mergeCell ref="L2:N2"/>
    <mergeCell ref="O2:O3"/>
  </mergeCells>
  <phoneticPr fontId="4"/>
  <dataValidations count="1">
    <dataValidation imeMode="halfAlpha" allowBlank="1" showInputMessage="1" showErrorMessage="1" sqref="F4:F28" xr:uid="{05D2A6E1-3F76-4948-9012-8557EFEBF719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8" orientation="portrait" horizontalDpi="4294967293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訪問看護</vt:lpstr>
      <vt:lpstr>訪問看護!Print_Area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h_hyakutake</dc:creator>
  <cp:lastModifiedBy>h_hyakutake</cp:lastModifiedBy>
  <dcterms:created xsi:type="dcterms:W3CDTF">2026-10-29T23:23:15Z</dcterms:created>
  <dcterms:modified xsi:type="dcterms:W3CDTF">2026-10-29T23:23:49Z</dcterms:modified>
</cp:coreProperties>
</file>